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slicers/slicer4.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d823eca11b364fcb/Documents/"/>
    </mc:Choice>
  </mc:AlternateContent>
  <xr:revisionPtr revIDLastSave="30" documentId="8_{56E2C00D-83FF-46C3-BAC5-24E2E8F549A0}" xr6:coauthVersionLast="47" xr6:coauthVersionMax="47" xr10:uidLastSave="{5AC9D913-BD9E-4415-995B-F07081A84B7D}"/>
  <bookViews>
    <workbookView xWindow="-108" yWindow="-108" windowWidth="23256" windowHeight="12456" activeTab="4" xr2:uid="{F717BBEB-D961-45A4-9464-E6E182A00A56}"/>
  </bookViews>
  <sheets>
    <sheet name="sales dataset" sheetId="1" r:id="rId1"/>
    <sheet name="pivot tables" sheetId="2" r:id="rId2"/>
    <sheet name="dashboard" sheetId="3" r:id="rId3"/>
    <sheet name="products" sheetId="8" r:id="rId4"/>
    <sheet name="sales" sheetId="11" r:id="rId5"/>
  </sheets>
  <definedNames>
    <definedName name="_xlnm._FilterDatabase" localSheetId="0" hidden="1">'sales dataset'!$B$2:$B$501</definedName>
    <definedName name="Slicer_Months__Order_Date">#N/A</definedName>
    <definedName name="Slicer_Product">#N/A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6" i="1" l="1"/>
  <c r="M5" i="1"/>
</calcChain>
</file>

<file path=xl/sharedStrings.xml><?xml version="1.0" encoding="utf-8"?>
<sst xmlns="http://schemas.openxmlformats.org/spreadsheetml/2006/main" count="2115" uniqueCount="44">
  <si>
    <t>Order_ID</t>
  </si>
  <si>
    <t>Order_Date</t>
  </si>
  <si>
    <t>Region</t>
  </si>
  <si>
    <t>Sales_Rep</t>
  </si>
  <si>
    <t>Product</t>
  </si>
  <si>
    <t>Category</t>
  </si>
  <si>
    <t>Quantity</t>
  </si>
  <si>
    <t>Unit_Cost</t>
  </si>
  <si>
    <t>Unit_Price</t>
  </si>
  <si>
    <t>Discount</t>
  </si>
  <si>
    <t>Sales_Amount</t>
  </si>
  <si>
    <t>North</t>
  </si>
  <si>
    <t>Rahul</t>
  </si>
  <si>
    <t>Keyboard</t>
  </si>
  <si>
    <t>Electronics</t>
  </si>
  <si>
    <t>West</t>
  </si>
  <si>
    <t>Priya</t>
  </si>
  <si>
    <t>Printer</t>
  </si>
  <si>
    <t>South</t>
  </si>
  <si>
    <t>Laptop</t>
  </si>
  <si>
    <t>East</t>
  </si>
  <si>
    <t>Neha</t>
  </si>
  <si>
    <t>Mouse</t>
  </si>
  <si>
    <t>Sneha</t>
  </si>
  <si>
    <t>Monitor</t>
  </si>
  <si>
    <t>Phone</t>
  </si>
  <si>
    <t>Table</t>
  </si>
  <si>
    <t>Furniture</t>
  </si>
  <si>
    <t>Arjun</t>
  </si>
  <si>
    <t>Desk</t>
  </si>
  <si>
    <t>Amit</t>
  </si>
  <si>
    <t>Headphones</t>
  </si>
  <si>
    <t>Sofa</t>
  </si>
  <si>
    <t>Chair</t>
  </si>
  <si>
    <t>Row Labels</t>
  </si>
  <si>
    <t>Grand Total</t>
  </si>
  <si>
    <t>Jan</t>
  </si>
  <si>
    <t>Sum of Quantity</t>
  </si>
  <si>
    <t>Sum of Sales_Amount</t>
  </si>
  <si>
    <t>Feb</t>
  </si>
  <si>
    <t>Mar</t>
  </si>
  <si>
    <t>Apr</t>
  </si>
  <si>
    <t>Jun</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</si>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</sst>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63A4F7"/>
      <color rgb="FF009E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dataset.xlsx]pivot tables!SALES BY MONTHS</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35870516185477"/>
          <c:y val="2.5428331875182269E-2"/>
          <c:w val="0.70075196850393706"/>
          <c:h val="0.8416746864975212"/>
        </c:manualLayout>
      </c:layout>
      <c:lineChart>
        <c:grouping val="standard"/>
        <c:varyColors val="0"/>
        <c:ser>
          <c:idx val="0"/>
          <c:order val="0"/>
          <c:tx>
            <c:strRef>
              <c:f>'pivot tables'!$B$46</c:f>
              <c:strCache>
                <c:ptCount val="1"/>
                <c:pt idx="0">
                  <c:v>Total</c:v>
                </c:pt>
              </c:strCache>
            </c:strRef>
          </c:tx>
          <c:spPr>
            <a:ln w="28575" cap="rnd">
              <a:solidFill>
                <a:schemeClr val="accent1"/>
              </a:solidFill>
              <a:round/>
            </a:ln>
            <a:effectLst/>
          </c:spPr>
          <c:marker>
            <c:symbol val="none"/>
          </c:marker>
          <c:cat>
            <c:strRef>
              <c:f>'pivot tables'!$A$47:$A$53</c:f>
              <c:strCache>
                <c:ptCount val="6"/>
                <c:pt idx="0">
                  <c:v>Jan</c:v>
                </c:pt>
                <c:pt idx="1">
                  <c:v>Feb</c:v>
                </c:pt>
                <c:pt idx="2">
                  <c:v>Mar</c:v>
                </c:pt>
                <c:pt idx="3">
                  <c:v>Apr</c:v>
                </c:pt>
                <c:pt idx="4">
                  <c:v>May</c:v>
                </c:pt>
                <c:pt idx="5">
                  <c:v>Jun</c:v>
                </c:pt>
              </c:strCache>
            </c:strRef>
          </c:cat>
          <c:val>
            <c:numRef>
              <c:f>'pivot tables'!$B$47:$B$53</c:f>
              <c:numCache>
                <c:formatCode>General</c:formatCode>
                <c:ptCount val="6"/>
                <c:pt idx="0">
                  <c:v>2397249</c:v>
                </c:pt>
                <c:pt idx="1">
                  <c:v>3828723</c:v>
                </c:pt>
                <c:pt idx="2">
                  <c:v>3188603</c:v>
                </c:pt>
                <c:pt idx="3">
                  <c:v>3437597</c:v>
                </c:pt>
                <c:pt idx="4">
                  <c:v>4276206</c:v>
                </c:pt>
                <c:pt idx="5">
                  <c:v>3370384</c:v>
                </c:pt>
              </c:numCache>
            </c:numRef>
          </c:val>
          <c:smooth val="0"/>
          <c:extLst>
            <c:ext xmlns:c16="http://schemas.microsoft.com/office/drawing/2014/chart" uri="{C3380CC4-5D6E-409C-BE32-E72D297353CC}">
              <c16:uniqueId val="{00000000-0C39-478F-8049-668E5AAFEE8F}"/>
            </c:ext>
          </c:extLst>
        </c:ser>
        <c:dLbls>
          <c:showLegendKey val="0"/>
          <c:showVal val="0"/>
          <c:showCatName val="0"/>
          <c:showSerName val="0"/>
          <c:showPercent val="0"/>
          <c:showBubbleSize val="0"/>
        </c:dLbls>
        <c:smooth val="0"/>
        <c:axId val="1443738575"/>
        <c:axId val="1443739055"/>
      </c:lineChart>
      <c:catAx>
        <c:axId val="1443738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739055"/>
        <c:crosses val="autoZero"/>
        <c:auto val="1"/>
        <c:lblAlgn val="ctr"/>
        <c:lblOffset val="100"/>
        <c:noMultiLvlLbl val="0"/>
      </c:catAx>
      <c:valAx>
        <c:axId val="1443739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738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dataset.xlsx]pivot tables!SALES BY REGION</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tables'!$B$58</c:f>
              <c:strCache>
                <c:ptCount val="1"/>
                <c:pt idx="0">
                  <c:v>Total</c:v>
                </c:pt>
              </c:strCache>
            </c:strRef>
          </c:tx>
          <c:spPr>
            <a:solidFill>
              <a:schemeClr val="accent1"/>
            </a:solidFill>
            <a:ln>
              <a:noFill/>
            </a:ln>
            <a:effectLst/>
          </c:spPr>
          <c:invertIfNegative val="0"/>
          <c:cat>
            <c:strRef>
              <c:f>'pivot tables'!$A$59:$A$63</c:f>
              <c:strCache>
                <c:ptCount val="4"/>
                <c:pt idx="0">
                  <c:v>East</c:v>
                </c:pt>
                <c:pt idx="1">
                  <c:v>South</c:v>
                </c:pt>
                <c:pt idx="2">
                  <c:v>North</c:v>
                </c:pt>
                <c:pt idx="3">
                  <c:v>West</c:v>
                </c:pt>
              </c:strCache>
            </c:strRef>
          </c:cat>
          <c:val>
            <c:numRef>
              <c:f>'pivot tables'!$B$59:$B$63</c:f>
              <c:numCache>
                <c:formatCode>General</c:formatCode>
                <c:ptCount val="4"/>
                <c:pt idx="0">
                  <c:v>4673206</c:v>
                </c:pt>
                <c:pt idx="1">
                  <c:v>4535127</c:v>
                </c:pt>
                <c:pt idx="2">
                  <c:v>6913595</c:v>
                </c:pt>
                <c:pt idx="3">
                  <c:v>4376834</c:v>
                </c:pt>
              </c:numCache>
            </c:numRef>
          </c:val>
          <c:extLst>
            <c:ext xmlns:c16="http://schemas.microsoft.com/office/drawing/2014/chart" uri="{C3380CC4-5D6E-409C-BE32-E72D297353CC}">
              <c16:uniqueId val="{00000000-A871-44E0-AEB8-08FFEF5FC50D}"/>
            </c:ext>
          </c:extLst>
        </c:ser>
        <c:dLbls>
          <c:showLegendKey val="0"/>
          <c:showVal val="0"/>
          <c:showCatName val="0"/>
          <c:showSerName val="0"/>
          <c:showPercent val="0"/>
          <c:showBubbleSize val="0"/>
        </c:dLbls>
        <c:gapWidth val="150"/>
        <c:overlap val="100"/>
        <c:axId val="1443774095"/>
        <c:axId val="1443775055"/>
      </c:barChart>
      <c:catAx>
        <c:axId val="1443774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775055"/>
        <c:crosses val="autoZero"/>
        <c:auto val="1"/>
        <c:lblAlgn val="ctr"/>
        <c:lblOffset val="100"/>
        <c:noMultiLvlLbl val="0"/>
      </c:catAx>
      <c:valAx>
        <c:axId val="14437750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77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dataset.xlsx]pivot tables!SALES OF PRODUCT BY QUANTITY</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tables'!$B$68</c:f>
              <c:strCache>
                <c:ptCount val="1"/>
                <c:pt idx="0">
                  <c:v>Total</c:v>
                </c:pt>
              </c:strCache>
            </c:strRef>
          </c:tx>
          <c:spPr>
            <a:solidFill>
              <a:schemeClr val="accent1"/>
            </a:solidFill>
            <a:ln>
              <a:noFill/>
            </a:ln>
            <a:effectLst/>
            <a:sp3d/>
          </c:spPr>
          <c:invertIfNegative val="0"/>
          <c:cat>
            <c:strRef>
              <c:f>'pivot tables'!$A$69:$A$80</c:f>
              <c:strCache>
                <c:ptCount val="11"/>
                <c:pt idx="0">
                  <c:v>Chair</c:v>
                </c:pt>
                <c:pt idx="1">
                  <c:v>Desk</c:v>
                </c:pt>
                <c:pt idx="2">
                  <c:v>Headphones</c:v>
                </c:pt>
                <c:pt idx="3">
                  <c:v>Keyboard</c:v>
                </c:pt>
                <c:pt idx="4">
                  <c:v>Laptop</c:v>
                </c:pt>
                <c:pt idx="5">
                  <c:v>Monitor</c:v>
                </c:pt>
                <c:pt idx="6">
                  <c:v>Mouse</c:v>
                </c:pt>
                <c:pt idx="7">
                  <c:v>Phone</c:v>
                </c:pt>
                <c:pt idx="8">
                  <c:v>Printer</c:v>
                </c:pt>
                <c:pt idx="9">
                  <c:v>Sofa</c:v>
                </c:pt>
                <c:pt idx="10">
                  <c:v>Table</c:v>
                </c:pt>
              </c:strCache>
            </c:strRef>
          </c:cat>
          <c:val>
            <c:numRef>
              <c:f>'pivot tables'!$B$69:$B$80</c:f>
              <c:numCache>
                <c:formatCode>General</c:formatCode>
                <c:ptCount val="11"/>
                <c:pt idx="0">
                  <c:v>113</c:v>
                </c:pt>
                <c:pt idx="1">
                  <c:v>143</c:v>
                </c:pt>
                <c:pt idx="2">
                  <c:v>174</c:v>
                </c:pt>
                <c:pt idx="3">
                  <c:v>128</c:v>
                </c:pt>
                <c:pt idx="4">
                  <c:v>185</c:v>
                </c:pt>
                <c:pt idx="5">
                  <c:v>165</c:v>
                </c:pt>
                <c:pt idx="6">
                  <c:v>194</c:v>
                </c:pt>
                <c:pt idx="7">
                  <c:v>180</c:v>
                </c:pt>
                <c:pt idx="8">
                  <c:v>145</c:v>
                </c:pt>
                <c:pt idx="9">
                  <c:v>163</c:v>
                </c:pt>
                <c:pt idx="10">
                  <c:v>146</c:v>
                </c:pt>
              </c:numCache>
            </c:numRef>
          </c:val>
          <c:extLst>
            <c:ext xmlns:c16="http://schemas.microsoft.com/office/drawing/2014/chart" uri="{C3380CC4-5D6E-409C-BE32-E72D297353CC}">
              <c16:uniqueId val="{00000000-3B0F-4E1F-B7F0-CCD33384BE2D}"/>
            </c:ext>
          </c:extLst>
        </c:ser>
        <c:dLbls>
          <c:showLegendKey val="0"/>
          <c:showVal val="0"/>
          <c:showCatName val="0"/>
          <c:showSerName val="0"/>
          <c:showPercent val="0"/>
          <c:showBubbleSize val="0"/>
        </c:dLbls>
        <c:gapWidth val="150"/>
        <c:shape val="box"/>
        <c:axId val="1637271647"/>
        <c:axId val="1637262047"/>
        <c:axId val="0"/>
      </c:bar3DChart>
      <c:catAx>
        <c:axId val="16372716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262047"/>
        <c:crosses val="autoZero"/>
        <c:auto val="1"/>
        <c:lblAlgn val="ctr"/>
        <c:lblOffset val="100"/>
        <c:noMultiLvlLbl val="0"/>
      </c:catAx>
      <c:valAx>
        <c:axId val="1637262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271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dataset.xlsx]pivot tables!TOP3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tables'!$B$85</c:f>
              <c:strCache>
                <c:ptCount val="1"/>
                <c:pt idx="0">
                  <c:v>Total</c:v>
                </c:pt>
              </c:strCache>
            </c:strRef>
          </c:tx>
          <c:spPr>
            <a:solidFill>
              <a:schemeClr val="accent1"/>
            </a:solidFill>
            <a:ln>
              <a:noFill/>
            </a:ln>
            <a:effectLst/>
          </c:spPr>
          <c:invertIfNegative val="0"/>
          <c:cat>
            <c:strRef>
              <c:f>'pivot tables'!$A$86:$A$89</c:f>
              <c:strCache>
                <c:ptCount val="3"/>
                <c:pt idx="0">
                  <c:v>Laptop</c:v>
                </c:pt>
                <c:pt idx="1">
                  <c:v>Mouse</c:v>
                </c:pt>
                <c:pt idx="2">
                  <c:v>Phone</c:v>
                </c:pt>
              </c:strCache>
            </c:strRef>
          </c:cat>
          <c:val>
            <c:numRef>
              <c:f>'pivot tables'!$B$86:$B$89</c:f>
              <c:numCache>
                <c:formatCode>General</c:formatCode>
                <c:ptCount val="3"/>
                <c:pt idx="0">
                  <c:v>185</c:v>
                </c:pt>
                <c:pt idx="1">
                  <c:v>194</c:v>
                </c:pt>
                <c:pt idx="2">
                  <c:v>180</c:v>
                </c:pt>
              </c:numCache>
            </c:numRef>
          </c:val>
          <c:extLst>
            <c:ext xmlns:c16="http://schemas.microsoft.com/office/drawing/2014/chart" uri="{C3380CC4-5D6E-409C-BE32-E72D297353CC}">
              <c16:uniqueId val="{00000000-F5B5-4F1D-874E-3D5FE03B516D}"/>
            </c:ext>
          </c:extLst>
        </c:ser>
        <c:dLbls>
          <c:showLegendKey val="0"/>
          <c:showVal val="0"/>
          <c:showCatName val="0"/>
          <c:showSerName val="0"/>
          <c:showPercent val="0"/>
          <c:showBubbleSize val="0"/>
        </c:dLbls>
        <c:gapWidth val="150"/>
        <c:overlap val="100"/>
        <c:axId val="1637315807"/>
        <c:axId val="1637320127"/>
      </c:barChart>
      <c:catAx>
        <c:axId val="1637315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320127"/>
        <c:crosses val="autoZero"/>
        <c:auto val="1"/>
        <c:lblAlgn val="ctr"/>
        <c:lblOffset val="100"/>
        <c:noMultiLvlLbl val="0"/>
      </c:catAx>
      <c:valAx>
        <c:axId val="16373201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315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dataset.xlsx]pivot tables!BOTTOM 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a:t>
            </a:r>
            <a:r>
              <a:rPr lang="en-US" sz="1600" b="1" baseline="0"/>
              <a:t> 3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tables'!$B$96</c:f>
              <c:strCache>
                <c:ptCount val="1"/>
                <c:pt idx="0">
                  <c:v>Total</c:v>
                </c:pt>
              </c:strCache>
            </c:strRef>
          </c:tx>
          <c:spPr>
            <a:solidFill>
              <a:schemeClr val="accent1"/>
            </a:solidFill>
            <a:ln>
              <a:noFill/>
            </a:ln>
            <a:effectLst/>
          </c:spPr>
          <c:invertIfNegative val="0"/>
          <c:cat>
            <c:strRef>
              <c:f>'pivot tables'!$A$97:$A$100</c:f>
              <c:strCache>
                <c:ptCount val="3"/>
                <c:pt idx="0">
                  <c:v>Chair</c:v>
                </c:pt>
                <c:pt idx="1">
                  <c:v>Desk</c:v>
                </c:pt>
                <c:pt idx="2">
                  <c:v>Keyboard</c:v>
                </c:pt>
              </c:strCache>
            </c:strRef>
          </c:cat>
          <c:val>
            <c:numRef>
              <c:f>'pivot tables'!$B$97:$B$100</c:f>
              <c:numCache>
                <c:formatCode>General</c:formatCode>
                <c:ptCount val="3"/>
                <c:pt idx="0">
                  <c:v>113</c:v>
                </c:pt>
                <c:pt idx="1">
                  <c:v>143</c:v>
                </c:pt>
                <c:pt idx="2">
                  <c:v>128</c:v>
                </c:pt>
              </c:numCache>
            </c:numRef>
          </c:val>
          <c:extLst>
            <c:ext xmlns:c16="http://schemas.microsoft.com/office/drawing/2014/chart" uri="{C3380CC4-5D6E-409C-BE32-E72D297353CC}">
              <c16:uniqueId val="{00000000-547D-45C8-A76F-F53295249143}"/>
            </c:ext>
          </c:extLst>
        </c:ser>
        <c:dLbls>
          <c:showLegendKey val="0"/>
          <c:showVal val="0"/>
          <c:showCatName val="0"/>
          <c:showSerName val="0"/>
          <c:showPercent val="0"/>
          <c:showBubbleSize val="0"/>
        </c:dLbls>
        <c:gapWidth val="150"/>
        <c:overlap val="100"/>
        <c:axId val="1637299007"/>
        <c:axId val="1637299967"/>
      </c:barChart>
      <c:catAx>
        <c:axId val="1637299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299967"/>
        <c:crosses val="autoZero"/>
        <c:auto val="1"/>
        <c:lblAlgn val="ctr"/>
        <c:lblOffset val="100"/>
        <c:noMultiLvlLbl val="0"/>
      </c:catAx>
      <c:valAx>
        <c:axId val="16372999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299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dataset.xlsx]pivot tables!SALES OF PRODUCTS</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tables'!$H$30</c:f>
              <c:strCache>
                <c:ptCount val="1"/>
                <c:pt idx="0">
                  <c:v>Total</c:v>
                </c:pt>
              </c:strCache>
            </c:strRef>
          </c:tx>
          <c:spPr>
            <a:solidFill>
              <a:schemeClr val="accent1"/>
            </a:solidFill>
            <a:ln>
              <a:noFill/>
            </a:ln>
            <a:effectLst/>
            <a:sp3d/>
          </c:spPr>
          <c:invertIfNegative val="0"/>
          <c:cat>
            <c:strRef>
              <c:f>'pivot tables'!$G$31:$G$42</c:f>
              <c:strCache>
                <c:ptCount val="11"/>
                <c:pt idx="0">
                  <c:v>Chair</c:v>
                </c:pt>
                <c:pt idx="1">
                  <c:v>Desk</c:v>
                </c:pt>
                <c:pt idx="2">
                  <c:v>Headphones</c:v>
                </c:pt>
                <c:pt idx="3">
                  <c:v>Keyboard</c:v>
                </c:pt>
                <c:pt idx="4">
                  <c:v>Laptop</c:v>
                </c:pt>
                <c:pt idx="5">
                  <c:v>Monitor</c:v>
                </c:pt>
                <c:pt idx="6">
                  <c:v>Mouse</c:v>
                </c:pt>
                <c:pt idx="7">
                  <c:v>Phone</c:v>
                </c:pt>
                <c:pt idx="8">
                  <c:v>Printer</c:v>
                </c:pt>
                <c:pt idx="9">
                  <c:v>Sofa</c:v>
                </c:pt>
                <c:pt idx="10">
                  <c:v>Table</c:v>
                </c:pt>
              </c:strCache>
            </c:strRef>
          </c:cat>
          <c:val>
            <c:numRef>
              <c:f>'pivot tables'!$H$31:$H$42</c:f>
              <c:numCache>
                <c:formatCode>General</c:formatCode>
                <c:ptCount val="11"/>
                <c:pt idx="0">
                  <c:v>113</c:v>
                </c:pt>
                <c:pt idx="1">
                  <c:v>143</c:v>
                </c:pt>
                <c:pt idx="2">
                  <c:v>174</c:v>
                </c:pt>
                <c:pt idx="3">
                  <c:v>128</c:v>
                </c:pt>
                <c:pt idx="4">
                  <c:v>185</c:v>
                </c:pt>
                <c:pt idx="5">
                  <c:v>165</c:v>
                </c:pt>
                <c:pt idx="6">
                  <c:v>194</c:v>
                </c:pt>
                <c:pt idx="7">
                  <c:v>180</c:v>
                </c:pt>
                <c:pt idx="8">
                  <c:v>145</c:v>
                </c:pt>
                <c:pt idx="9">
                  <c:v>163</c:v>
                </c:pt>
                <c:pt idx="10">
                  <c:v>146</c:v>
                </c:pt>
              </c:numCache>
            </c:numRef>
          </c:val>
          <c:extLst>
            <c:ext xmlns:c16="http://schemas.microsoft.com/office/drawing/2014/chart" uri="{C3380CC4-5D6E-409C-BE32-E72D297353CC}">
              <c16:uniqueId val="{00000000-8F0C-432D-B478-09BEA3CBFE7F}"/>
            </c:ext>
          </c:extLst>
        </c:ser>
        <c:dLbls>
          <c:showLegendKey val="0"/>
          <c:showVal val="0"/>
          <c:showCatName val="0"/>
          <c:showSerName val="0"/>
          <c:showPercent val="0"/>
          <c:showBubbleSize val="0"/>
        </c:dLbls>
        <c:gapWidth val="150"/>
        <c:shape val="box"/>
        <c:axId val="492622640"/>
        <c:axId val="492624080"/>
        <c:axId val="0"/>
      </c:bar3DChart>
      <c:catAx>
        <c:axId val="492622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624080"/>
        <c:crosses val="autoZero"/>
        <c:auto val="1"/>
        <c:lblAlgn val="ctr"/>
        <c:lblOffset val="100"/>
        <c:noMultiLvlLbl val="0"/>
      </c:catAx>
      <c:valAx>
        <c:axId val="492624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622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dataset.xlsx]pivot tables!PivotTable12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man performance</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tables'!$B$112</c:f>
              <c:strCache>
                <c:ptCount val="1"/>
                <c:pt idx="0">
                  <c:v>Total</c:v>
                </c:pt>
              </c:strCache>
            </c:strRef>
          </c:tx>
          <c:spPr>
            <a:solidFill>
              <a:schemeClr val="accent1"/>
            </a:solidFill>
            <a:ln>
              <a:noFill/>
            </a:ln>
            <a:effectLst/>
            <a:sp3d/>
          </c:spPr>
          <c:invertIfNegative val="0"/>
          <c:cat>
            <c:strRef>
              <c:f>'pivot tables'!$A$113:$A$119</c:f>
              <c:strCache>
                <c:ptCount val="6"/>
                <c:pt idx="0">
                  <c:v>Amit</c:v>
                </c:pt>
                <c:pt idx="1">
                  <c:v>Arjun</c:v>
                </c:pt>
                <c:pt idx="2">
                  <c:v>Neha</c:v>
                </c:pt>
                <c:pt idx="3">
                  <c:v>Priya</c:v>
                </c:pt>
                <c:pt idx="4">
                  <c:v>Rahul</c:v>
                </c:pt>
                <c:pt idx="5">
                  <c:v>Sneha</c:v>
                </c:pt>
              </c:strCache>
            </c:strRef>
          </c:cat>
          <c:val>
            <c:numRef>
              <c:f>'pivot tables'!$B$113:$B$119</c:f>
              <c:numCache>
                <c:formatCode>General</c:formatCode>
                <c:ptCount val="6"/>
                <c:pt idx="0">
                  <c:v>287</c:v>
                </c:pt>
                <c:pt idx="1">
                  <c:v>280</c:v>
                </c:pt>
                <c:pt idx="2">
                  <c:v>274</c:v>
                </c:pt>
                <c:pt idx="3">
                  <c:v>310</c:v>
                </c:pt>
                <c:pt idx="4">
                  <c:v>285</c:v>
                </c:pt>
                <c:pt idx="5">
                  <c:v>300</c:v>
                </c:pt>
              </c:numCache>
            </c:numRef>
          </c:val>
          <c:extLst>
            <c:ext xmlns:c16="http://schemas.microsoft.com/office/drawing/2014/chart" uri="{C3380CC4-5D6E-409C-BE32-E72D297353CC}">
              <c16:uniqueId val="{00000000-7FDE-4EB4-A6D4-E90E9874989E}"/>
            </c:ext>
          </c:extLst>
        </c:ser>
        <c:dLbls>
          <c:showLegendKey val="0"/>
          <c:showVal val="0"/>
          <c:showCatName val="0"/>
          <c:showSerName val="0"/>
          <c:showPercent val="0"/>
          <c:showBubbleSize val="0"/>
        </c:dLbls>
        <c:gapWidth val="150"/>
        <c:shape val="box"/>
        <c:axId val="1695679056"/>
        <c:axId val="1695680496"/>
        <c:axId val="0"/>
      </c:bar3DChart>
      <c:catAx>
        <c:axId val="1695679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680496"/>
        <c:crosses val="autoZero"/>
        <c:auto val="1"/>
        <c:lblAlgn val="ctr"/>
        <c:lblOffset val="100"/>
        <c:noMultiLvlLbl val="0"/>
      </c:catAx>
      <c:valAx>
        <c:axId val="1695680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67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dataset.xlsx]pivot tables!PivotTable13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a:t>
            </a:r>
            <a:r>
              <a:rPr lang="en-US" sz="1600" b="1" baseline="0"/>
              <a:t> 3 SALES MANS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tables'!$C$127</c:f>
              <c:strCache>
                <c:ptCount val="1"/>
                <c:pt idx="0">
                  <c:v>Total</c:v>
                </c:pt>
              </c:strCache>
            </c:strRef>
          </c:tx>
          <c:spPr>
            <a:solidFill>
              <a:schemeClr val="accent1"/>
            </a:solidFill>
            <a:ln>
              <a:noFill/>
            </a:ln>
            <a:effectLst/>
          </c:spPr>
          <c:invertIfNegative val="0"/>
          <c:cat>
            <c:strRef>
              <c:f>'pivot tables'!$B$128:$B$131</c:f>
              <c:strCache>
                <c:ptCount val="3"/>
                <c:pt idx="0">
                  <c:v>Amit</c:v>
                </c:pt>
                <c:pt idx="1">
                  <c:v>Priya</c:v>
                </c:pt>
                <c:pt idx="2">
                  <c:v>Sneha</c:v>
                </c:pt>
              </c:strCache>
            </c:strRef>
          </c:cat>
          <c:val>
            <c:numRef>
              <c:f>'pivot tables'!$C$128:$C$131</c:f>
              <c:numCache>
                <c:formatCode>General</c:formatCode>
                <c:ptCount val="3"/>
                <c:pt idx="0">
                  <c:v>287</c:v>
                </c:pt>
                <c:pt idx="1">
                  <c:v>310</c:v>
                </c:pt>
                <c:pt idx="2">
                  <c:v>300</c:v>
                </c:pt>
              </c:numCache>
            </c:numRef>
          </c:val>
          <c:extLst>
            <c:ext xmlns:c16="http://schemas.microsoft.com/office/drawing/2014/chart" uri="{C3380CC4-5D6E-409C-BE32-E72D297353CC}">
              <c16:uniqueId val="{00000000-BBCA-432B-9A5B-96A470211FE6}"/>
            </c:ext>
          </c:extLst>
        </c:ser>
        <c:dLbls>
          <c:showLegendKey val="0"/>
          <c:showVal val="0"/>
          <c:showCatName val="0"/>
          <c:showSerName val="0"/>
          <c:showPercent val="0"/>
          <c:showBubbleSize val="0"/>
        </c:dLbls>
        <c:gapWidth val="150"/>
        <c:overlap val="100"/>
        <c:axId val="415562416"/>
        <c:axId val="415563376"/>
      </c:barChart>
      <c:catAx>
        <c:axId val="415562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563376"/>
        <c:crosses val="autoZero"/>
        <c:auto val="1"/>
        <c:lblAlgn val="ctr"/>
        <c:lblOffset val="100"/>
        <c:noMultiLvlLbl val="0"/>
      </c:catAx>
      <c:valAx>
        <c:axId val="415563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562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dataset.xlsx]pivot tables!PivotTable14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BOTTOM</a:t>
            </a:r>
            <a:r>
              <a:rPr lang="en-US" sz="1600" b="1" baseline="0"/>
              <a:t> 3 SALES MANS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tables'!$C$137</c:f>
              <c:strCache>
                <c:ptCount val="1"/>
                <c:pt idx="0">
                  <c:v>Total</c:v>
                </c:pt>
              </c:strCache>
            </c:strRef>
          </c:tx>
          <c:spPr>
            <a:solidFill>
              <a:schemeClr val="accent1"/>
            </a:solidFill>
            <a:ln>
              <a:noFill/>
            </a:ln>
            <a:effectLst/>
          </c:spPr>
          <c:invertIfNegative val="0"/>
          <c:cat>
            <c:strRef>
              <c:f>'pivot tables'!$B$138:$B$141</c:f>
              <c:strCache>
                <c:ptCount val="3"/>
                <c:pt idx="0">
                  <c:v>Arjun</c:v>
                </c:pt>
                <c:pt idx="1">
                  <c:v>Neha</c:v>
                </c:pt>
                <c:pt idx="2">
                  <c:v>Rahul</c:v>
                </c:pt>
              </c:strCache>
            </c:strRef>
          </c:cat>
          <c:val>
            <c:numRef>
              <c:f>'pivot tables'!$C$138:$C$141</c:f>
              <c:numCache>
                <c:formatCode>General</c:formatCode>
                <c:ptCount val="3"/>
                <c:pt idx="0">
                  <c:v>280</c:v>
                </c:pt>
                <c:pt idx="1">
                  <c:v>274</c:v>
                </c:pt>
                <c:pt idx="2">
                  <c:v>285</c:v>
                </c:pt>
              </c:numCache>
            </c:numRef>
          </c:val>
          <c:extLst>
            <c:ext xmlns:c16="http://schemas.microsoft.com/office/drawing/2014/chart" uri="{C3380CC4-5D6E-409C-BE32-E72D297353CC}">
              <c16:uniqueId val="{00000000-BB60-4E9A-B6F2-436EADC8C73A}"/>
            </c:ext>
          </c:extLst>
        </c:ser>
        <c:dLbls>
          <c:showLegendKey val="0"/>
          <c:showVal val="0"/>
          <c:showCatName val="0"/>
          <c:showSerName val="0"/>
          <c:showPercent val="0"/>
          <c:showBubbleSize val="0"/>
        </c:dLbls>
        <c:gapWidth val="150"/>
        <c:overlap val="100"/>
        <c:axId val="412826704"/>
        <c:axId val="412827184"/>
      </c:barChart>
      <c:catAx>
        <c:axId val="412826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827184"/>
        <c:crosses val="autoZero"/>
        <c:auto val="1"/>
        <c:lblAlgn val="ctr"/>
        <c:lblOffset val="100"/>
        <c:noMultiLvlLbl val="0"/>
      </c:catAx>
      <c:valAx>
        <c:axId val="412827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82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dataset.xlsx]pivot tables!SALES BY MONTHS</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tables'!$B$46</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tables'!$A$47:$A$53</c:f>
              <c:strCache>
                <c:ptCount val="6"/>
                <c:pt idx="0">
                  <c:v>Jan</c:v>
                </c:pt>
                <c:pt idx="1">
                  <c:v>Feb</c:v>
                </c:pt>
                <c:pt idx="2">
                  <c:v>Mar</c:v>
                </c:pt>
                <c:pt idx="3">
                  <c:v>Apr</c:v>
                </c:pt>
                <c:pt idx="4">
                  <c:v>May</c:v>
                </c:pt>
                <c:pt idx="5">
                  <c:v>Jun</c:v>
                </c:pt>
              </c:strCache>
            </c:strRef>
          </c:cat>
          <c:val>
            <c:numRef>
              <c:f>'pivot tables'!$B$47:$B$53</c:f>
              <c:numCache>
                <c:formatCode>General</c:formatCode>
                <c:ptCount val="6"/>
                <c:pt idx="0">
                  <c:v>2397249</c:v>
                </c:pt>
                <c:pt idx="1">
                  <c:v>3828723</c:v>
                </c:pt>
                <c:pt idx="2">
                  <c:v>3188603</c:v>
                </c:pt>
                <c:pt idx="3">
                  <c:v>3437597</c:v>
                </c:pt>
                <c:pt idx="4">
                  <c:v>4276206</c:v>
                </c:pt>
                <c:pt idx="5">
                  <c:v>3370384</c:v>
                </c:pt>
              </c:numCache>
            </c:numRef>
          </c:val>
          <c:smooth val="0"/>
          <c:extLst>
            <c:ext xmlns:c16="http://schemas.microsoft.com/office/drawing/2014/chart" uri="{C3380CC4-5D6E-409C-BE32-E72D297353CC}">
              <c16:uniqueId val="{00000000-40C2-4E37-B0A7-AD147AAE2884}"/>
            </c:ext>
          </c:extLst>
        </c:ser>
        <c:dLbls>
          <c:dLblPos val="t"/>
          <c:showLegendKey val="0"/>
          <c:showVal val="1"/>
          <c:showCatName val="0"/>
          <c:showSerName val="0"/>
          <c:showPercent val="0"/>
          <c:showBubbleSize val="0"/>
        </c:dLbls>
        <c:smooth val="0"/>
        <c:axId val="1443738575"/>
        <c:axId val="1443739055"/>
      </c:lineChart>
      <c:catAx>
        <c:axId val="14437385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739055"/>
        <c:crosses val="autoZero"/>
        <c:auto val="1"/>
        <c:lblAlgn val="ctr"/>
        <c:lblOffset val="100"/>
        <c:noMultiLvlLbl val="0"/>
      </c:catAx>
      <c:valAx>
        <c:axId val="144373905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738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dataset.xlsx]pivot tables!SALES BY REGION</c:name>
    <c:fmtId val="19"/>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pivotFmt>
      <c:pivotFmt>
        <c:idx val="4"/>
        <c:spPr>
          <a:solidFill>
            <a:schemeClr val="accent1">
              <a:alpha val="70000"/>
            </a:schemeClr>
          </a:solidFill>
          <a:ln>
            <a:noFill/>
          </a:ln>
          <a:effectLst/>
        </c:spPr>
      </c:pivotFmt>
      <c:pivotFmt>
        <c:idx val="5"/>
        <c:spPr>
          <a:solidFill>
            <a:schemeClr val="accent1">
              <a:alpha val="70000"/>
            </a:schemeClr>
          </a:solidFill>
          <a:ln>
            <a:noFill/>
          </a:ln>
          <a:effectLst/>
        </c:spPr>
      </c:pivotFmt>
      <c:pivotFmt>
        <c:idx val="6"/>
        <c:spPr>
          <a:solidFill>
            <a:schemeClr val="accent1">
              <a:alpha val="70000"/>
            </a:schemeClr>
          </a:solidFill>
          <a:ln>
            <a:noFill/>
          </a:ln>
          <a:effectLst/>
        </c:spPr>
      </c:pivotFmt>
    </c:pivotFmts>
    <c:plotArea>
      <c:layout/>
      <c:barChart>
        <c:barDir val="bar"/>
        <c:grouping val="stacked"/>
        <c:varyColors val="0"/>
        <c:ser>
          <c:idx val="0"/>
          <c:order val="0"/>
          <c:tx>
            <c:strRef>
              <c:f>'pivot tables'!$B$58</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tables'!$A$59:$A$63</c:f>
              <c:strCache>
                <c:ptCount val="4"/>
                <c:pt idx="0">
                  <c:v>East</c:v>
                </c:pt>
                <c:pt idx="1">
                  <c:v>South</c:v>
                </c:pt>
                <c:pt idx="2">
                  <c:v>North</c:v>
                </c:pt>
                <c:pt idx="3">
                  <c:v>West</c:v>
                </c:pt>
              </c:strCache>
            </c:strRef>
          </c:cat>
          <c:val>
            <c:numRef>
              <c:f>'pivot tables'!$B$59:$B$63</c:f>
              <c:numCache>
                <c:formatCode>General</c:formatCode>
                <c:ptCount val="4"/>
                <c:pt idx="0">
                  <c:v>4673206</c:v>
                </c:pt>
                <c:pt idx="1">
                  <c:v>4535127</c:v>
                </c:pt>
                <c:pt idx="2">
                  <c:v>6913595</c:v>
                </c:pt>
                <c:pt idx="3">
                  <c:v>4376834</c:v>
                </c:pt>
              </c:numCache>
            </c:numRef>
          </c:val>
          <c:extLst>
            <c:ext xmlns:c16="http://schemas.microsoft.com/office/drawing/2014/chart" uri="{C3380CC4-5D6E-409C-BE32-E72D297353CC}">
              <c16:uniqueId val="{00000000-2A23-40A6-90BC-21E93F50BD29}"/>
            </c:ext>
          </c:extLst>
        </c:ser>
        <c:dLbls>
          <c:dLblPos val="ctr"/>
          <c:showLegendKey val="0"/>
          <c:showVal val="1"/>
          <c:showCatName val="0"/>
          <c:showSerName val="0"/>
          <c:showPercent val="0"/>
          <c:showBubbleSize val="0"/>
        </c:dLbls>
        <c:gapWidth val="50"/>
        <c:overlap val="100"/>
        <c:axId val="1443774095"/>
        <c:axId val="1443775055"/>
      </c:barChart>
      <c:catAx>
        <c:axId val="1443774095"/>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775055"/>
        <c:crosses val="autoZero"/>
        <c:auto val="1"/>
        <c:lblAlgn val="ctr"/>
        <c:lblOffset val="100"/>
        <c:noMultiLvlLbl val="0"/>
      </c:catAx>
      <c:valAx>
        <c:axId val="1443775055"/>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77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dataset.xlsx]pivot tables!SALES OF PRODUCTS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BY PRODUCTS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tables'!$H$30</c:f>
              <c:strCache>
                <c:ptCount val="1"/>
                <c:pt idx="0">
                  <c:v>Total</c:v>
                </c:pt>
              </c:strCache>
            </c:strRef>
          </c:tx>
          <c:spPr>
            <a:solidFill>
              <a:schemeClr val="accent1"/>
            </a:solidFill>
            <a:ln>
              <a:noFill/>
            </a:ln>
            <a:effectLst/>
            <a:sp3d/>
          </c:spPr>
          <c:invertIfNegative val="0"/>
          <c:cat>
            <c:strRef>
              <c:f>'pivot tables'!$G$31:$G$42</c:f>
              <c:strCache>
                <c:ptCount val="11"/>
                <c:pt idx="0">
                  <c:v>Chair</c:v>
                </c:pt>
                <c:pt idx="1">
                  <c:v>Desk</c:v>
                </c:pt>
                <c:pt idx="2">
                  <c:v>Headphones</c:v>
                </c:pt>
                <c:pt idx="3">
                  <c:v>Keyboard</c:v>
                </c:pt>
                <c:pt idx="4">
                  <c:v>Laptop</c:v>
                </c:pt>
                <c:pt idx="5">
                  <c:v>Monitor</c:v>
                </c:pt>
                <c:pt idx="6">
                  <c:v>Mouse</c:v>
                </c:pt>
                <c:pt idx="7">
                  <c:v>Phone</c:v>
                </c:pt>
                <c:pt idx="8">
                  <c:v>Printer</c:v>
                </c:pt>
                <c:pt idx="9">
                  <c:v>Sofa</c:v>
                </c:pt>
                <c:pt idx="10">
                  <c:v>Table</c:v>
                </c:pt>
              </c:strCache>
            </c:strRef>
          </c:cat>
          <c:val>
            <c:numRef>
              <c:f>'pivot tables'!$H$31:$H$42</c:f>
              <c:numCache>
                <c:formatCode>General</c:formatCode>
                <c:ptCount val="11"/>
                <c:pt idx="0">
                  <c:v>113</c:v>
                </c:pt>
                <c:pt idx="1">
                  <c:v>143</c:v>
                </c:pt>
                <c:pt idx="2">
                  <c:v>174</c:v>
                </c:pt>
                <c:pt idx="3">
                  <c:v>128</c:v>
                </c:pt>
                <c:pt idx="4">
                  <c:v>185</c:v>
                </c:pt>
                <c:pt idx="5">
                  <c:v>165</c:v>
                </c:pt>
                <c:pt idx="6">
                  <c:v>194</c:v>
                </c:pt>
                <c:pt idx="7">
                  <c:v>180</c:v>
                </c:pt>
                <c:pt idx="8">
                  <c:v>145</c:v>
                </c:pt>
                <c:pt idx="9">
                  <c:v>163</c:v>
                </c:pt>
                <c:pt idx="10">
                  <c:v>146</c:v>
                </c:pt>
              </c:numCache>
            </c:numRef>
          </c:val>
          <c:extLst>
            <c:ext xmlns:c16="http://schemas.microsoft.com/office/drawing/2014/chart" uri="{C3380CC4-5D6E-409C-BE32-E72D297353CC}">
              <c16:uniqueId val="{00000000-8727-48FF-B87C-24D0B7974155}"/>
            </c:ext>
          </c:extLst>
        </c:ser>
        <c:dLbls>
          <c:showLegendKey val="0"/>
          <c:showVal val="0"/>
          <c:showCatName val="0"/>
          <c:showSerName val="0"/>
          <c:showPercent val="0"/>
          <c:showBubbleSize val="0"/>
        </c:dLbls>
        <c:gapWidth val="150"/>
        <c:shape val="box"/>
        <c:axId val="492622640"/>
        <c:axId val="492624080"/>
        <c:axId val="0"/>
      </c:bar3DChart>
      <c:catAx>
        <c:axId val="492622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624080"/>
        <c:crosses val="autoZero"/>
        <c:auto val="1"/>
        <c:lblAlgn val="ctr"/>
        <c:lblOffset val="100"/>
        <c:noMultiLvlLbl val="0"/>
      </c:catAx>
      <c:valAx>
        <c:axId val="492624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622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dataset.xlsx]pivot tables!SALES OF PRODUCT BY QUANTITY</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of products by quantity</a:t>
            </a:r>
          </a:p>
        </c:rich>
      </c:tx>
      <c:layout>
        <c:manualLayout>
          <c:xMode val="edge"/>
          <c:yMode val="edge"/>
          <c:x val="0.27751004016064257"/>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tables'!$B$68</c:f>
              <c:strCache>
                <c:ptCount val="1"/>
                <c:pt idx="0">
                  <c:v>Total</c:v>
                </c:pt>
              </c:strCache>
            </c:strRef>
          </c:tx>
          <c:spPr>
            <a:solidFill>
              <a:schemeClr val="accent1"/>
            </a:solidFill>
            <a:ln>
              <a:noFill/>
            </a:ln>
            <a:effectLst/>
            <a:sp3d/>
          </c:spPr>
          <c:invertIfNegative val="0"/>
          <c:cat>
            <c:strRef>
              <c:f>'pivot tables'!$A$69:$A$80</c:f>
              <c:strCache>
                <c:ptCount val="11"/>
                <c:pt idx="0">
                  <c:v>Chair</c:v>
                </c:pt>
                <c:pt idx="1">
                  <c:v>Desk</c:v>
                </c:pt>
                <c:pt idx="2">
                  <c:v>Headphones</c:v>
                </c:pt>
                <c:pt idx="3">
                  <c:v>Keyboard</c:v>
                </c:pt>
                <c:pt idx="4">
                  <c:v>Laptop</c:v>
                </c:pt>
                <c:pt idx="5">
                  <c:v>Monitor</c:v>
                </c:pt>
                <c:pt idx="6">
                  <c:v>Mouse</c:v>
                </c:pt>
                <c:pt idx="7">
                  <c:v>Phone</c:v>
                </c:pt>
                <c:pt idx="8">
                  <c:v>Printer</c:v>
                </c:pt>
                <c:pt idx="9">
                  <c:v>Sofa</c:v>
                </c:pt>
                <c:pt idx="10">
                  <c:v>Table</c:v>
                </c:pt>
              </c:strCache>
            </c:strRef>
          </c:cat>
          <c:val>
            <c:numRef>
              <c:f>'pivot tables'!$B$69:$B$80</c:f>
              <c:numCache>
                <c:formatCode>General</c:formatCode>
                <c:ptCount val="11"/>
                <c:pt idx="0">
                  <c:v>113</c:v>
                </c:pt>
                <c:pt idx="1">
                  <c:v>143</c:v>
                </c:pt>
                <c:pt idx="2">
                  <c:v>174</c:v>
                </c:pt>
                <c:pt idx="3">
                  <c:v>128</c:v>
                </c:pt>
                <c:pt idx="4">
                  <c:v>185</c:v>
                </c:pt>
                <c:pt idx="5">
                  <c:v>165</c:v>
                </c:pt>
                <c:pt idx="6">
                  <c:v>194</c:v>
                </c:pt>
                <c:pt idx="7">
                  <c:v>180</c:v>
                </c:pt>
                <c:pt idx="8">
                  <c:v>145</c:v>
                </c:pt>
                <c:pt idx="9">
                  <c:v>163</c:v>
                </c:pt>
                <c:pt idx="10">
                  <c:v>146</c:v>
                </c:pt>
              </c:numCache>
            </c:numRef>
          </c:val>
          <c:extLst>
            <c:ext xmlns:c16="http://schemas.microsoft.com/office/drawing/2014/chart" uri="{C3380CC4-5D6E-409C-BE32-E72D297353CC}">
              <c16:uniqueId val="{00000000-74C0-4D0A-8CA4-8121C64AE7DD}"/>
            </c:ext>
          </c:extLst>
        </c:ser>
        <c:dLbls>
          <c:showLegendKey val="0"/>
          <c:showVal val="0"/>
          <c:showCatName val="0"/>
          <c:showSerName val="0"/>
          <c:showPercent val="0"/>
          <c:showBubbleSize val="0"/>
        </c:dLbls>
        <c:gapWidth val="150"/>
        <c:shape val="box"/>
        <c:axId val="1637271647"/>
        <c:axId val="1637262047"/>
        <c:axId val="0"/>
      </c:bar3DChart>
      <c:catAx>
        <c:axId val="16372716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262047"/>
        <c:crosses val="autoZero"/>
        <c:auto val="1"/>
        <c:lblAlgn val="ctr"/>
        <c:lblOffset val="100"/>
        <c:noMultiLvlLbl val="0"/>
      </c:catAx>
      <c:valAx>
        <c:axId val="16372620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271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dataset.xlsx]pivot tables!TOP3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a:t>
            </a:r>
            <a:r>
              <a:rPr lang="en-US" sz="1600" b="1" baseline="0"/>
              <a:t> 3 products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tables'!$B$85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tables'!$A$86:$A$89</c:f>
              <c:strCache>
                <c:ptCount val="3"/>
                <c:pt idx="0">
                  <c:v>Laptop</c:v>
                </c:pt>
                <c:pt idx="1">
                  <c:v>Mouse</c:v>
                </c:pt>
                <c:pt idx="2">
                  <c:v>Phone</c:v>
                </c:pt>
              </c:strCache>
            </c:strRef>
          </c:cat>
          <c:val>
            <c:numRef>
              <c:f>'pivot tables'!$B$86:$B$89</c:f>
              <c:numCache>
                <c:formatCode>General</c:formatCode>
                <c:ptCount val="3"/>
                <c:pt idx="0">
                  <c:v>185</c:v>
                </c:pt>
                <c:pt idx="1">
                  <c:v>194</c:v>
                </c:pt>
                <c:pt idx="2">
                  <c:v>180</c:v>
                </c:pt>
              </c:numCache>
            </c:numRef>
          </c:val>
          <c:extLst>
            <c:ext xmlns:c16="http://schemas.microsoft.com/office/drawing/2014/chart" uri="{C3380CC4-5D6E-409C-BE32-E72D297353CC}">
              <c16:uniqueId val="{00000000-5517-444E-9A1C-A69FAA27D733}"/>
            </c:ext>
          </c:extLst>
        </c:ser>
        <c:dLbls>
          <c:showLegendKey val="0"/>
          <c:showVal val="0"/>
          <c:showCatName val="0"/>
          <c:showSerName val="0"/>
          <c:showPercent val="0"/>
          <c:showBubbleSize val="0"/>
        </c:dLbls>
        <c:gapWidth val="150"/>
        <c:overlap val="100"/>
        <c:axId val="1637315807"/>
        <c:axId val="1637320127"/>
      </c:barChart>
      <c:catAx>
        <c:axId val="1637315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320127"/>
        <c:crosses val="autoZero"/>
        <c:auto val="1"/>
        <c:lblAlgn val="ctr"/>
        <c:lblOffset val="100"/>
        <c:noMultiLvlLbl val="0"/>
      </c:catAx>
      <c:valAx>
        <c:axId val="1637320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315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dataset.xlsx]pivot tables!BOTTOM 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Bottom</a:t>
            </a:r>
            <a:r>
              <a:rPr lang="en-US" sz="1600" b="1" baseline="0"/>
              <a:t> 3 products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barChart>
        <c:barDir val="bar"/>
        <c:grouping val="stacked"/>
        <c:varyColors val="0"/>
        <c:ser>
          <c:idx val="0"/>
          <c:order val="0"/>
          <c:tx>
            <c:strRef>
              <c:f>'pivot tables'!$B$96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tables'!$A$97:$A$100</c:f>
              <c:strCache>
                <c:ptCount val="3"/>
                <c:pt idx="0">
                  <c:v>Chair</c:v>
                </c:pt>
                <c:pt idx="1">
                  <c:v>Desk</c:v>
                </c:pt>
                <c:pt idx="2">
                  <c:v>Keyboard</c:v>
                </c:pt>
              </c:strCache>
            </c:strRef>
          </c:cat>
          <c:val>
            <c:numRef>
              <c:f>'pivot tables'!$B$97:$B$100</c:f>
              <c:numCache>
                <c:formatCode>General</c:formatCode>
                <c:ptCount val="3"/>
                <c:pt idx="0">
                  <c:v>113</c:v>
                </c:pt>
                <c:pt idx="1">
                  <c:v>143</c:v>
                </c:pt>
                <c:pt idx="2">
                  <c:v>128</c:v>
                </c:pt>
              </c:numCache>
            </c:numRef>
          </c:val>
          <c:extLst>
            <c:ext xmlns:c16="http://schemas.microsoft.com/office/drawing/2014/chart" uri="{C3380CC4-5D6E-409C-BE32-E72D297353CC}">
              <c16:uniqueId val="{00000000-8055-422D-95B7-91EA10EEF4A7}"/>
            </c:ext>
          </c:extLst>
        </c:ser>
        <c:dLbls>
          <c:dLblPos val="ctr"/>
          <c:showLegendKey val="0"/>
          <c:showVal val="1"/>
          <c:showCatName val="0"/>
          <c:showSerName val="0"/>
          <c:showPercent val="0"/>
          <c:showBubbleSize val="0"/>
        </c:dLbls>
        <c:gapWidth val="150"/>
        <c:overlap val="100"/>
        <c:axId val="1637299007"/>
        <c:axId val="1637299967"/>
      </c:barChart>
      <c:catAx>
        <c:axId val="1637299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299967"/>
        <c:crosses val="autoZero"/>
        <c:auto val="1"/>
        <c:lblAlgn val="ctr"/>
        <c:lblOffset val="100"/>
        <c:noMultiLvlLbl val="0"/>
      </c:catAx>
      <c:valAx>
        <c:axId val="16372999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299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dataset.xlsx]pivot tables!PivotTable12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man performance</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tables'!$B$112</c:f>
              <c:strCache>
                <c:ptCount val="1"/>
                <c:pt idx="0">
                  <c:v>Total</c:v>
                </c:pt>
              </c:strCache>
            </c:strRef>
          </c:tx>
          <c:spPr>
            <a:solidFill>
              <a:schemeClr val="accent1"/>
            </a:solidFill>
            <a:ln>
              <a:noFill/>
            </a:ln>
            <a:effectLst/>
            <a:sp3d/>
          </c:spPr>
          <c:invertIfNegative val="0"/>
          <c:cat>
            <c:strRef>
              <c:f>'pivot tables'!$A$113:$A$119</c:f>
              <c:strCache>
                <c:ptCount val="6"/>
                <c:pt idx="0">
                  <c:v>Amit</c:v>
                </c:pt>
                <c:pt idx="1">
                  <c:v>Arjun</c:v>
                </c:pt>
                <c:pt idx="2">
                  <c:v>Neha</c:v>
                </c:pt>
                <c:pt idx="3">
                  <c:v>Priya</c:v>
                </c:pt>
                <c:pt idx="4">
                  <c:v>Rahul</c:v>
                </c:pt>
                <c:pt idx="5">
                  <c:v>Sneha</c:v>
                </c:pt>
              </c:strCache>
            </c:strRef>
          </c:cat>
          <c:val>
            <c:numRef>
              <c:f>'pivot tables'!$B$113:$B$119</c:f>
              <c:numCache>
                <c:formatCode>General</c:formatCode>
                <c:ptCount val="6"/>
                <c:pt idx="0">
                  <c:v>287</c:v>
                </c:pt>
                <c:pt idx="1">
                  <c:v>280</c:v>
                </c:pt>
                <c:pt idx="2">
                  <c:v>274</c:v>
                </c:pt>
                <c:pt idx="3">
                  <c:v>310</c:v>
                </c:pt>
                <c:pt idx="4">
                  <c:v>285</c:v>
                </c:pt>
                <c:pt idx="5">
                  <c:v>300</c:v>
                </c:pt>
              </c:numCache>
            </c:numRef>
          </c:val>
          <c:extLst>
            <c:ext xmlns:c16="http://schemas.microsoft.com/office/drawing/2014/chart" uri="{C3380CC4-5D6E-409C-BE32-E72D297353CC}">
              <c16:uniqueId val="{00000000-6DC5-4BCE-9B87-75133F612318}"/>
            </c:ext>
          </c:extLst>
        </c:ser>
        <c:dLbls>
          <c:showLegendKey val="0"/>
          <c:showVal val="0"/>
          <c:showCatName val="0"/>
          <c:showSerName val="0"/>
          <c:showPercent val="0"/>
          <c:showBubbleSize val="0"/>
        </c:dLbls>
        <c:gapWidth val="150"/>
        <c:shape val="box"/>
        <c:axId val="1695679056"/>
        <c:axId val="1695680496"/>
        <c:axId val="0"/>
      </c:bar3DChart>
      <c:catAx>
        <c:axId val="1695679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680496"/>
        <c:crosses val="autoZero"/>
        <c:auto val="1"/>
        <c:lblAlgn val="ctr"/>
        <c:lblOffset val="100"/>
        <c:noMultiLvlLbl val="0"/>
      </c:catAx>
      <c:valAx>
        <c:axId val="1695680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67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dataset.xlsx]pivot tables!PivotTable13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a:t>
            </a:r>
            <a:r>
              <a:rPr lang="en-US" sz="1600" b="1" baseline="0"/>
              <a:t> 3 SALES MANS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tables'!$C$127</c:f>
              <c:strCache>
                <c:ptCount val="1"/>
                <c:pt idx="0">
                  <c:v>Total</c:v>
                </c:pt>
              </c:strCache>
            </c:strRef>
          </c:tx>
          <c:spPr>
            <a:solidFill>
              <a:schemeClr val="accent1"/>
            </a:solidFill>
            <a:ln>
              <a:noFill/>
            </a:ln>
            <a:effectLst/>
          </c:spPr>
          <c:invertIfNegative val="0"/>
          <c:cat>
            <c:strRef>
              <c:f>'pivot tables'!$B$128:$B$131</c:f>
              <c:strCache>
                <c:ptCount val="3"/>
                <c:pt idx="0">
                  <c:v>Amit</c:v>
                </c:pt>
                <c:pt idx="1">
                  <c:v>Priya</c:v>
                </c:pt>
                <c:pt idx="2">
                  <c:v>Sneha</c:v>
                </c:pt>
              </c:strCache>
            </c:strRef>
          </c:cat>
          <c:val>
            <c:numRef>
              <c:f>'pivot tables'!$C$128:$C$131</c:f>
              <c:numCache>
                <c:formatCode>General</c:formatCode>
                <c:ptCount val="3"/>
                <c:pt idx="0">
                  <c:v>287</c:v>
                </c:pt>
                <c:pt idx="1">
                  <c:v>310</c:v>
                </c:pt>
                <c:pt idx="2">
                  <c:v>300</c:v>
                </c:pt>
              </c:numCache>
            </c:numRef>
          </c:val>
          <c:extLst>
            <c:ext xmlns:c16="http://schemas.microsoft.com/office/drawing/2014/chart" uri="{C3380CC4-5D6E-409C-BE32-E72D297353CC}">
              <c16:uniqueId val="{00000000-3D7E-4DEB-B53C-96274DF5231D}"/>
            </c:ext>
          </c:extLst>
        </c:ser>
        <c:dLbls>
          <c:showLegendKey val="0"/>
          <c:showVal val="0"/>
          <c:showCatName val="0"/>
          <c:showSerName val="0"/>
          <c:showPercent val="0"/>
          <c:showBubbleSize val="0"/>
        </c:dLbls>
        <c:gapWidth val="150"/>
        <c:overlap val="100"/>
        <c:axId val="415562416"/>
        <c:axId val="415563376"/>
      </c:barChart>
      <c:catAx>
        <c:axId val="415562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563376"/>
        <c:crosses val="autoZero"/>
        <c:auto val="1"/>
        <c:lblAlgn val="ctr"/>
        <c:lblOffset val="100"/>
        <c:noMultiLvlLbl val="0"/>
      </c:catAx>
      <c:valAx>
        <c:axId val="415563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562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dataset.xlsx]pivot tables!PivotTable14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BOTTOM</a:t>
            </a:r>
            <a:r>
              <a:rPr lang="en-US" sz="1600" b="1" baseline="0"/>
              <a:t> 3 SALES MANS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tables'!$C$137</c:f>
              <c:strCache>
                <c:ptCount val="1"/>
                <c:pt idx="0">
                  <c:v>Total</c:v>
                </c:pt>
              </c:strCache>
            </c:strRef>
          </c:tx>
          <c:spPr>
            <a:solidFill>
              <a:schemeClr val="accent1"/>
            </a:solidFill>
            <a:ln>
              <a:noFill/>
            </a:ln>
            <a:effectLst/>
          </c:spPr>
          <c:invertIfNegative val="0"/>
          <c:cat>
            <c:strRef>
              <c:f>'pivot tables'!$B$138:$B$141</c:f>
              <c:strCache>
                <c:ptCount val="3"/>
                <c:pt idx="0">
                  <c:v>Arjun</c:v>
                </c:pt>
                <c:pt idx="1">
                  <c:v>Neha</c:v>
                </c:pt>
                <c:pt idx="2">
                  <c:v>Rahul</c:v>
                </c:pt>
              </c:strCache>
            </c:strRef>
          </c:cat>
          <c:val>
            <c:numRef>
              <c:f>'pivot tables'!$C$138:$C$141</c:f>
              <c:numCache>
                <c:formatCode>General</c:formatCode>
                <c:ptCount val="3"/>
                <c:pt idx="0">
                  <c:v>280</c:v>
                </c:pt>
                <c:pt idx="1">
                  <c:v>274</c:v>
                </c:pt>
                <c:pt idx="2">
                  <c:v>285</c:v>
                </c:pt>
              </c:numCache>
            </c:numRef>
          </c:val>
          <c:extLst>
            <c:ext xmlns:c16="http://schemas.microsoft.com/office/drawing/2014/chart" uri="{C3380CC4-5D6E-409C-BE32-E72D297353CC}">
              <c16:uniqueId val="{00000000-61AF-4BC8-8D67-D9E501B94AF2}"/>
            </c:ext>
          </c:extLst>
        </c:ser>
        <c:dLbls>
          <c:showLegendKey val="0"/>
          <c:showVal val="0"/>
          <c:showCatName val="0"/>
          <c:showSerName val="0"/>
          <c:showPercent val="0"/>
          <c:showBubbleSize val="0"/>
        </c:dLbls>
        <c:gapWidth val="150"/>
        <c:overlap val="100"/>
        <c:axId val="412826704"/>
        <c:axId val="412827184"/>
      </c:barChart>
      <c:catAx>
        <c:axId val="412826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827184"/>
        <c:crosses val="autoZero"/>
        <c:auto val="1"/>
        <c:lblAlgn val="ctr"/>
        <c:lblOffset val="100"/>
        <c:noMultiLvlLbl val="0"/>
      </c:catAx>
      <c:valAx>
        <c:axId val="412827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82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image" Target="../media/image2.svg"/><Relationship Id="rId7" Type="http://schemas.openxmlformats.org/officeDocument/2006/relationships/image" Target="../media/image6.svg"/><Relationship Id="rId2" Type="http://schemas.openxmlformats.org/officeDocument/2006/relationships/image" Target="../media/image1.png"/><Relationship Id="rId1" Type="http://schemas.openxmlformats.org/officeDocument/2006/relationships/hyperlink" Target="#products!A1"/><Relationship Id="rId6" Type="http://schemas.openxmlformats.org/officeDocument/2006/relationships/image" Target="../media/image5.png"/><Relationship Id="rId5" Type="http://schemas.openxmlformats.org/officeDocument/2006/relationships/image" Target="../media/image4.svg"/><Relationship Id="rId10" Type="http://schemas.openxmlformats.org/officeDocument/2006/relationships/chart" Target="../charts/chart12.xml"/><Relationship Id="rId4" Type="http://schemas.openxmlformats.org/officeDocument/2006/relationships/image" Target="../media/image3.png"/><Relationship Id="rId9"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sales!A1"/><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18.xml"/><Relationship Id="rId2" Type="http://schemas.openxmlformats.org/officeDocument/2006/relationships/hyperlink" Target="#dashboard!A1"/><Relationship Id="rId1" Type="http://schemas.openxmlformats.org/officeDocument/2006/relationships/hyperlink" Target="#products!A1"/><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editAs="oneCell">
    <xdr:from>
      <xdr:col>1</xdr:col>
      <xdr:colOff>373380</xdr:colOff>
      <xdr:row>3</xdr:row>
      <xdr:rowOff>152401</xdr:rowOff>
    </xdr:from>
    <xdr:to>
      <xdr:col>5</xdr:col>
      <xdr:colOff>60960</xdr:colOff>
      <xdr:row>7</xdr:row>
      <xdr:rowOff>152400</xdr:rowOff>
    </xdr:to>
    <mc:AlternateContent xmlns:mc="http://schemas.openxmlformats.org/markup-compatibility/2006" xmlns:a14="http://schemas.microsoft.com/office/drawing/2010/main">
      <mc:Choice Requires="a14">
        <xdr:graphicFrame macro="">
          <xdr:nvGraphicFramePr>
            <xdr:cNvPr id="6" name="Months (Order_Date)">
              <a:extLst>
                <a:ext uri="{FF2B5EF4-FFF2-40B4-BE49-F238E27FC236}">
                  <a16:creationId xmlns:a16="http://schemas.microsoft.com/office/drawing/2014/main" id="{C9F5A659-F301-43BB-ADE0-5FEC9965E4E5}"/>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1234440" y="701041"/>
              <a:ext cx="2788920" cy="731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441960</xdr:colOff>
      <xdr:row>14</xdr:row>
      <xdr:rowOff>38101</xdr:rowOff>
    </xdr:from>
    <xdr:to>
      <xdr:col>3</xdr:col>
      <xdr:colOff>388620</xdr:colOff>
      <xdr:row>18</xdr:row>
      <xdr:rowOff>60960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570022CB-B4CD-05E8-C0C6-82BB64C7629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03020" y="2598421"/>
              <a:ext cx="1828800" cy="754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342900</xdr:colOff>
      <xdr:row>35</xdr:row>
      <xdr:rowOff>148590</xdr:rowOff>
    </xdr:from>
    <xdr:to>
      <xdr:col>13</xdr:col>
      <xdr:colOff>38100</xdr:colOff>
      <xdr:row>50</xdr:row>
      <xdr:rowOff>148590</xdr:rowOff>
    </xdr:to>
    <xdr:graphicFrame macro="">
      <xdr:nvGraphicFramePr>
        <xdr:cNvPr id="11" name="Chart 10">
          <a:extLst>
            <a:ext uri="{FF2B5EF4-FFF2-40B4-BE49-F238E27FC236}">
              <a16:creationId xmlns:a16="http://schemas.microsoft.com/office/drawing/2014/main" id="{275C2EBD-7289-F1FE-44A9-8F837CCCFA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914400</xdr:colOff>
      <xdr:row>44</xdr:row>
      <xdr:rowOff>148590</xdr:rowOff>
    </xdr:from>
    <xdr:to>
      <xdr:col>10</xdr:col>
      <xdr:colOff>198120</xdr:colOff>
      <xdr:row>59</xdr:row>
      <xdr:rowOff>148590</xdr:rowOff>
    </xdr:to>
    <xdr:graphicFrame macro="">
      <xdr:nvGraphicFramePr>
        <xdr:cNvPr id="12" name="Chart 11">
          <a:extLst>
            <a:ext uri="{FF2B5EF4-FFF2-40B4-BE49-F238E27FC236}">
              <a16:creationId xmlns:a16="http://schemas.microsoft.com/office/drawing/2014/main" id="{E5425127-817C-567C-7782-E31ACAA755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228600</xdr:colOff>
      <xdr:row>61</xdr:row>
      <xdr:rowOff>148590</xdr:rowOff>
    </xdr:from>
    <xdr:to>
      <xdr:col>10</xdr:col>
      <xdr:colOff>533400</xdr:colOff>
      <xdr:row>76</xdr:row>
      <xdr:rowOff>148590</xdr:rowOff>
    </xdr:to>
    <xdr:graphicFrame macro="">
      <xdr:nvGraphicFramePr>
        <xdr:cNvPr id="2" name="Chart 1">
          <a:extLst>
            <a:ext uri="{FF2B5EF4-FFF2-40B4-BE49-F238E27FC236}">
              <a16:creationId xmlns:a16="http://schemas.microsoft.com/office/drawing/2014/main" id="{34DA1063-DE4E-5B24-9B8C-39C3E53705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502920</xdr:colOff>
      <xdr:row>79</xdr:row>
      <xdr:rowOff>87630</xdr:rowOff>
    </xdr:from>
    <xdr:to>
      <xdr:col>9</xdr:col>
      <xdr:colOff>396240</xdr:colOff>
      <xdr:row>94</xdr:row>
      <xdr:rowOff>87630</xdr:rowOff>
    </xdr:to>
    <xdr:graphicFrame macro="">
      <xdr:nvGraphicFramePr>
        <xdr:cNvPr id="3" name="Chart 2">
          <a:extLst>
            <a:ext uri="{FF2B5EF4-FFF2-40B4-BE49-F238E27FC236}">
              <a16:creationId xmlns:a16="http://schemas.microsoft.com/office/drawing/2014/main" id="{3EB8380B-6A37-A5EE-53C4-C3BD5A4052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701040</xdr:colOff>
      <xdr:row>89</xdr:row>
      <xdr:rowOff>34290</xdr:rowOff>
    </xdr:from>
    <xdr:to>
      <xdr:col>16</xdr:col>
      <xdr:colOff>38100</xdr:colOff>
      <xdr:row>104</xdr:row>
      <xdr:rowOff>34290</xdr:rowOff>
    </xdr:to>
    <xdr:graphicFrame macro="">
      <xdr:nvGraphicFramePr>
        <xdr:cNvPr id="4" name="Chart 3">
          <a:extLst>
            <a:ext uri="{FF2B5EF4-FFF2-40B4-BE49-F238E27FC236}">
              <a16:creationId xmlns:a16="http://schemas.microsoft.com/office/drawing/2014/main" id="{5C19D21E-1551-2839-D612-1FFA1EB525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480060</xdr:colOff>
      <xdr:row>23</xdr:row>
      <xdr:rowOff>102870</xdr:rowOff>
    </xdr:from>
    <xdr:to>
      <xdr:col>19</xdr:col>
      <xdr:colOff>175260</xdr:colOff>
      <xdr:row>38</xdr:row>
      <xdr:rowOff>102870</xdr:rowOff>
    </xdr:to>
    <xdr:graphicFrame macro="">
      <xdr:nvGraphicFramePr>
        <xdr:cNvPr id="5" name="Chart 4">
          <a:extLst>
            <a:ext uri="{FF2B5EF4-FFF2-40B4-BE49-F238E27FC236}">
              <a16:creationId xmlns:a16="http://schemas.microsoft.com/office/drawing/2014/main" id="{B231AB3B-E3E5-2A1A-816A-8A9056EF7C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228600</xdr:colOff>
      <xdr:row>104</xdr:row>
      <xdr:rowOff>148590</xdr:rowOff>
    </xdr:from>
    <xdr:to>
      <xdr:col>9</xdr:col>
      <xdr:colOff>480060</xdr:colOff>
      <xdr:row>119</xdr:row>
      <xdr:rowOff>148590</xdr:rowOff>
    </xdr:to>
    <xdr:graphicFrame macro="">
      <xdr:nvGraphicFramePr>
        <xdr:cNvPr id="8" name="Chart 7">
          <a:extLst>
            <a:ext uri="{FF2B5EF4-FFF2-40B4-BE49-F238E27FC236}">
              <a16:creationId xmlns:a16="http://schemas.microsoft.com/office/drawing/2014/main" id="{3B909AC9-BB79-57A9-4B5A-79CE746B68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388620</xdr:colOff>
      <xdr:row>121</xdr:row>
      <xdr:rowOff>148590</xdr:rowOff>
    </xdr:from>
    <xdr:to>
      <xdr:col>10</xdr:col>
      <xdr:colOff>30480</xdr:colOff>
      <xdr:row>136</xdr:row>
      <xdr:rowOff>148590</xdr:rowOff>
    </xdr:to>
    <xdr:graphicFrame macro="">
      <xdr:nvGraphicFramePr>
        <xdr:cNvPr id="10" name="Chart 9">
          <a:extLst>
            <a:ext uri="{FF2B5EF4-FFF2-40B4-BE49-F238E27FC236}">
              <a16:creationId xmlns:a16="http://schemas.microsoft.com/office/drawing/2014/main" id="{93F56C14-08C4-7EB1-C96D-88E8B7ACAB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388620</xdr:colOff>
      <xdr:row>138</xdr:row>
      <xdr:rowOff>148590</xdr:rowOff>
    </xdr:from>
    <xdr:to>
      <xdr:col>10</xdr:col>
      <xdr:colOff>30480</xdr:colOff>
      <xdr:row>153</xdr:row>
      <xdr:rowOff>148590</xdr:rowOff>
    </xdr:to>
    <xdr:graphicFrame macro="">
      <xdr:nvGraphicFramePr>
        <xdr:cNvPr id="13" name="Chart 12">
          <a:extLst>
            <a:ext uri="{FF2B5EF4-FFF2-40B4-BE49-F238E27FC236}">
              <a16:creationId xmlns:a16="http://schemas.microsoft.com/office/drawing/2014/main" id="{5D79F40A-5664-B2BC-1656-65C4EA795B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-70599</xdr:colOff>
      <xdr:row>0</xdr:row>
      <xdr:rowOff>26029</xdr:rowOff>
    </xdr:from>
    <xdr:to>
      <xdr:col>23</xdr:col>
      <xdr:colOff>169660</xdr:colOff>
      <xdr:row>28</xdr:row>
      <xdr:rowOff>111132</xdr:rowOff>
    </xdr:to>
    <xdr:sp macro="" textlink="">
      <xdr:nvSpPr>
        <xdr:cNvPr id="2" name="Rectangle: Rounded Corners 1">
          <a:extLst>
            <a:ext uri="{FF2B5EF4-FFF2-40B4-BE49-F238E27FC236}">
              <a16:creationId xmlns:a16="http://schemas.microsoft.com/office/drawing/2014/main" id="{6192EA09-0133-1620-6424-66A333AC89A6}"/>
            </a:ext>
          </a:extLst>
        </xdr:cNvPr>
        <xdr:cNvSpPr/>
      </xdr:nvSpPr>
      <xdr:spPr>
        <a:xfrm>
          <a:off x="-70599" y="26029"/>
          <a:ext cx="14261059" cy="5205743"/>
        </a:xfrm>
        <a:prstGeom prst="roundRect">
          <a:avLst>
            <a:gd name="adj" fmla="val 779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114300</xdr:colOff>
      <xdr:row>0</xdr:row>
      <xdr:rowOff>99060</xdr:rowOff>
    </xdr:from>
    <xdr:to>
      <xdr:col>23</xdr:col>
      <xdr:colOff>45720</xdr:colOff>
      <xdr:row>28</xdr:row>
      <xdr:rowOff>68580</xdr:rowOff>
    </xdr:to>
    <xdr:sp macro="" textlink="">
      <xdr:nvSpPr>
        <xdr:cNvPr id="4" name="Rectangle: Rounded Corners 3">
          <a:extLst>
            <a:ext uri="{FF2B5EF4-FFF2-40B4-BE49-F238E27FC236}">
              <a16:creationId xmlns:a16="http://schemas.microsoft.com/office/drawing/2014/main" id="{31C1608B-5872-A91A-8411-5F89419FE208}"/>
            </a:ext>
          </a:extLst>
        </xdr:cNvPr>
        <xdr:cNvSpPr/>
      </xdr:nvSpPr>
      <xdr:spPr>
        <a:xfrm>
          <a:off x="1943100" y="99060"/>
          <a:ext cx="12123420" cy="5090160"/>
        </a:xfrm>
        <a:prstGeom prst="roundRect">
          <a:avLst>
            <a:gd name="adj" fmla="val 8583"/>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0"/>
            <a:t>aamdfmckj</a:t>
          </a:r>
        </a:p>
      </xdr:txBody>
    </xdr:sp>
    <xdr:clientData/>
  </xdr:twoCellAnchor>
  <xdr:twoCellAnchor>
    <xdr:from>
      <xdr:col>0</xdr:col>
      <xdr:colOff>152400</xdr:colOff>
      <xdr:row>9</xdr:row>
      <xdr:rowOff>91440</xdr:rowOff>
    </xdr:from>
    <xdr:to>
      <xdr:col>2</xdr:col>
      <xdr:colOff>533400</xdr:colOff>
      <xdr:row>12</xdr:row>
      <xdr:rowOff>53340</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53D3D783-A8C6-3267-F7AD-18B4A8FE7C6D}"/>
            </a:ext>
          </a:extLst>
        </xdr:cNvPr>
        <xdr:cNvSpPr/>
      </xdr:nvSpPr>
      <xdr:spPr>
        <a:xfrm>
          <a:off x="152400" y="1737360"/>
          <a:ext cx="1600200" cy="510540"/>
        </a:xfrm>
        <a:prstGeom prst="roundRect">
          <a:avLst>
            <a:gd name="adj" fmla="val 2952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i="0">
              <a:solidFill>
                <a:schemeClr val="tx1"/>
              </a:solidFill>
            </a:rPr>
            <a:t>DASHBOARD</a:t>
          </a:r>
        </a:p>
      </xdr:txBody>
    </xdr:sp>
    <xdr:clientData/>
  </xdr:twoCellAnchor>
  <xdr:twoCellAnchor>
    <xdr:from>
      <xdr:col>0</xdr:col>
      <xdr:colOff>152400</xdr:colOff>
      <xdr:row>14</xdr:row>
      <xdr:rowOff>175260</xdr:rowOff>
    </xdr:from>
    <xdr:to>
      <xdr:col>2</xdr:col>
      <xdr:colOff>533400</xdr:colOff>
      <xdr:row>17</xdr:row>
      <xdr:rowOff>137160</xdr:rowOff>
    </xdr:to>
    <xdr:sp macro="" textlink="">
      <xdr:nvSpPr>
        <xdr:cNvPr id="6" name="Rectangle: Rounded Corners 5">
          <a:extLst>
            <a:ext uri="{FF2B5EF4-FFF2-40B4-BE49-F238E27FC236}">
              <a16:creationId xmlns:a16="http://schemas.microsoft.com/office/drawing/2014/main" id="{0FB8B14C-B6FD-4501-8ACF-101BFC7456B8}"/>
            </a:ext>
          </a:extLst>
        </xdr:cNvPr>
        <xdr:cNvSpPr/>
      </xdr:nvSpPr>
      <xdr:spPr>
        <a:xfrm>
          <a:off x="152400" y="2735580"/>
          <a:ext cx="1600200" cy="510540"/>
        </a:xfrm>
        <a:prstGeom prst="roundRect">
          <a:avLst>
            <a:gd name="adj" fmla="val 2952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PRODUCTS</a:t>
          </a:r>
        </a:p>
      </xdr:txBody>
    </xdr:sp>
    <xdr:clientData/>
  </xdr:twoCellAnchor>
  <xdr:twoCellAnchor>
    <xdr:from>
      <xdr:col>0</xdr:col>
      <xdr:colOff>175260</xdr:colOff>
      <xdr:row>20</xdr:row>
      <xdr:rowOff>53340</xdr:rowOff>
    </xdr:from>
    <xdr:to>
      <xdr:col>2</xdr:col>
      <xdr:colOff>556260</xdr:colOff>
      <xdr:row>23</xdr:row>
      <xdr:rowOff>15240</xdr:rowOff>
    </xdr:to>
    <xdr:sp macro="" textlink="">
      <xdr:nvSpPr>
        <xdr:cNvPr id="7" name="Rectangle: Rounded Corners 6">
          <a:extLst>
            <a:ext uri="{FF2B5EF4-FFF2-40B4-BE49-F238E27FC236}">
              <a16:creationId xmlns:a16="http://schemas.microsoft.com/office/drawing/2014/main" id="{CBF6401A-8150-4492-A56E-9F5445D445E2}"/>
            </a:ext>
          </a:extLst>
        </xdr:cNvPr>
        <xdr:cNvSpPr/>
      </xdr:nvSpPr>
      <xdr:spPr>
        <a:xfrm>
          <a:off x="175260" y="3710940"/>
          <a:ext cx="1600200" cy="510540"/>
        </a:xfrm>
        <a:prstGeom prst="roundRect">
          <a:avLst>
            <a:gd name="adj" fmla="val 2952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SALES MANS</a:t>
          </a:r>
        </a:p>
      </xdr:txBody>
    </xdr:sp>
    <xdr:clientData/>
  </xdr:twoCellAnchor>
  <xdr:twoCellAnchor>
    <xdr:from>
      <xdr:col>3</xdr:col>
      <xdr:colOff>304800</xdr:colOff>
      <xdr:row>1</xdr:row>
      <xdr:rowOff>22860</xdr:rowOff>
    </xdr:from>
    <xdr:to>
      <xdr:col>13</xdr:col>
      <xdr:colOff>30480</xdr:colOff>
      <xdr:row>6</xdr:row>
      <xdr:rowOff>7620</xdr:rowOff>
    </xdr:to>
    <xdr:sp macro="" textlink="">
      <xdr:nvSpPr>
        <xdr:cNvPr id="11" name="Rectangle 10">
          <a:extLst>
            <a:ext uri="{FF2B5EF4-FFF2-40B4-BE49-F238E27FC236}">
              <a16:creationId xmlns:a16="http://schemas.microsoft.com/office/drawing/2014/main" id="{5053DCE2-41DF-3068-652C-51AB6FFCC383}"/>
            </a:ext>
          </a:extLst>
        </xdr:cNvPr>
        <xdr:cNvSpPr/>
      </xdr:nvSpPr>
      <xdr:spPr>
        <a:xfrm>
          <a:off x="2133600" y="205740"/>
          <a:ext cx="5821680" cy="8991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213360</xdr:colOff>
      <xdr:row>1</xdr:row>
      <xdr:rowOff>15240</xdr:rowOff>
    </xdr:from>
    <xdr:to>
      <xdr:col>22</xdr:col>
      <xdr:colOff>457200</xdr:colOff>
      <xdr:row>6</xdr:row>
      <xdr:rowOff>0</xdr:rowOff>
    </xdr:to>
    <xdr:sp macro="" textlink="">
      <xdr:nvSpPr>
        <xdr:cNvPr id="12" name="Rectangle 11">
          <a:extLst>
            <a:ext uri="{FF2B5EF4-FFF2-40B4-BE49-F238E27FC236}">
              <a16:creationId xmlns:a16="http://schemas.microsoft.com/office/drawing/2014/main" id="{B91A037E-AF2B-48E7-A56F-7A289FBB2B32}"/>
            </a:ext>
          </a:extLst>
        </xdr:cNvPr>
        <xdr:cNvSpPr/>
      </xdr:nvSpPr>
      <xdr:spPr>
        <a:xfrm>
          <a:off x="8138160" y="198120"/>
          <a:ext cx="5730240" cy="8991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167640</xdr:colOff>
      <xdr:row>6</xdr:row>
      <xdr:rowOff>68580</xdr:rowOff>
    </xdr:from>
    <xdr:to>
      <xdr:col>22</xdr:col>
      <xdr:colOff>586740</xdr:colOff>
      <xdr:row>9</xdr:row>
      <xdr:rowOff>53340</xdr:rowOff>
    </xdr:to>
    <xdr:sp macro="" textlink="">
      <xdr:nvSpPr>
        <xdr:cNvPr id="13" name="Rectangle 12">
          <a:extLst>
            <a:ext uri="{FF2B5EF4-FFF2-40B4-BE49-F238E27FC236}">
              <a16:creationId xmlns:a16="http://schemas.microsoft.com/office/drawing/2014/main" id="{C4BA801A-7011-C52B-1B77-FF782B9E0CDF}"/>
            </a:ext>
          </a:extLst>
        </xdr:cNvPr>
        <xdr:cNvSpPr/>
      </xdr:nvSpPr>
      <xdr:spPr>
        <a:xfrm>
          <a:off x="1996440" y="1165860"/>
          <a:ext cx="12001500" cy="533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510540</xdr:colOff>
      <xdr:row>1</xdr:row>
      <xdr:rowOff>114300</xdr:rowOff>
    </xdr:from>
    <xdr:to>
      <xdr:col>12</xdr:col>
      <xdr:colOff>411480</xdr:colOff>
      <xdr:row>5</xdr:row>
      <xdr:rowOff>114299</xdr:rowOff>
    </xdr:to>
    <mc:AlternateContent xmlns:mc="http://schemas.openxmlformats.org/markup-compatibility/2006" xmlns:a14="http://schemas.microsoft.com/office/drawing/2010/main">
      <mc:Choice Requires="a14">
        <xdr:graphicFrame macro="">
          <xdr:nvGraphicFramePr>
            <xdr:cNvPr id="3" name="Months (Order_Date) 1">
              <a:extLst>
                <a:ext uri="{FF2B5EF4-FFF2-40B4-BE49-F238E27FC236}">
                  <a16:creationId xmlns:a16="http://schemas.microsoft.com/office/drawing/2014/main" id="{986569B2-7200-4E6B-8004-0D926C82A43E}"/>
                </a:ext>
              </a:extLst>
            </xdr:cNvPr>
            <xdr:cNvGraphicFramePr/>
          </xdr:nvGraphicFramePr>
          <xdr:xfrm>
            <a:off x="0" y="0"/>
            <a:ext cx="0" cy="0"/>
          </xdr:xfrm>
          <a:graphic>
            <a:graphicData uri="http://schemas.microsoft.com/office/drawing/2010/slicer">
              <sle:slicer xmlns:sle="http://schemas.microsoft.com/office/drawing/2010/slicer" name="Months (Order_Date) 1"/>
            </a:graphicData>
          </a:graphic>
        </xdr:graphicFrame>
      </mc:Choice>
      <mc:Fallback xmlns="">
        <xdr:sp macro="" textlink="">
          <xdr:nvSpPr>
            <xdr:cNvPr id="0" name=""/>
            <xdr:cNvSpPr>
              <a:spLocks noTextEdit="1"/>
            </xdr:cNvSpPr>
          </xdr:nvSpPr>
          <xdr:spPr>
            <a:xfrm>
              <a:off x="2339340" y="297180"/>
              <a:ext cx="5387340" cy="731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403860</xdr:colOff>
      <xdr:row>1</xdr:row>
      <xdr:rowOff>106680</xdr:rowOff>
    </xdr:from>
    <xdr:to>
      <xdr:col>22</xdr:col>
      <xdr:colOff>274320</xdr:colOff>
      <xdr:row>5</xdr:row>
      <xdr:rowOff>38099</xdr:rowOff>
    </xdr:to>
    <mc:AlternateContent xmlns:mc="http://schemas.openxmlformats.org/markup-compatibility/2006" xmlns:a14="http://schemas.microsoft.com/office/drawing/2010/main">
      <mc:Choice Requires="a14">
        <xdr:graphicFrame macro="">
          <xdr:nvGraphicFramePr>
            <xdr:cNvPr id="9" name="Region 1">
              <a:extLst>
                <a:ext uri="{FF2B5EF4-FFF2-40B4-BE49-F238E27FC236}">
                  <a16:creationId xmlns:a16="http://schemas.microsoft.com/office/drawing/2014/main" id="{45145437-8C48-4737-8BC3-16B582047CB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328660" y="289560"/>
              <a:ext cx="5356860" cy="662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228600</xdr:colOff>
      <xdr:row>6</xdr:row>
      <xdr:rowOff>121920</xdr:rowOff>
    </xdr:from>
    <xdr:to>
      <xdr:col>22</xdr:col>
      <xdr:colOff>525780</xdr:colOff>
      <xdr:row>8</xdr:row>
      <xdr:rowOff>152400</xdr:rowOff>
    </xdr:to>
    <mc:AlternateContent xmlns:mc="http://schemas.openxmlformats.org/markup-compatibility/2006" xmlns:a14="http://schemas.microsoft.com/office/drawing/2010/main">
      <mc:Choice Requires="a14">
        <xdr:graphicFrame macro="">
          <xdr:nvGraphicFramePr>
            <xdr:cNvPr id="10" name="Product 1">
              <a:extLst>
                <a:ext uri="{FF2B5EF4-FFF2-40B4-BE49-F238E27FC236}">
                  <a16:creationId xmlns:a16="http://schemas.microsoft.com/office/drawing/2014/main" id="{1C94A033-74E1-4E39-B6AD-D4438E61B112}"/>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2057400" y="1219200"/>
              <a:ext cx="11879580" cy="396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228600</xdr:colOff>
      <xdr:row>9</xdr:row>
      <xdr:rowOff>152400</xdr:rowOff>
    </xdr:from>
    <xdr:to>
      <xdr:col>4</xdr:col>
      <xdr:colOff>312420</xdr:colOff>
      <xdr:row>12</xdr:row>
      <xdr:rowOff>68580</xdr:rowOff>
    </xdr:to>
    <xdr:pic>
      <xdr:nvPicPr>
        <xdr:cNvPr id="15" name="Graphic 14" descr="Bar graph with upward trend">
          <a:extLst>
            <a:ext uri="{FF2B5EF4-FFF2-40B4-BE49-F238E27FC236}">
              <a16:creationId xmlns:a16="http://schemas.microsoft.com/office/drawing/2014/main" id="{198F8015-46F6-CCB5-34E0-125DD5428C8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057400" y="1798320"/>
          <a:ext cx="693420" cy="464820"/>
        </a:xfrm>
        <a:prstGeom prst="rect">
          <a:avLst/>
        </a:prstGeom>
      </xdr:spPr>
    </xdr:pic>
    <xdr:clientData/>
  </xdr:twoCellAnchor>
  <xdr:twoCellAnchor>
    <xdr:from>
      <xdr:col>4</xdr:col>
      <xdr:colOff>342900</xdr:colOff>
      <xdr:row>9</xdr:row>
      <xdr:rowOff>167640</xdr:rowOff>
    </xdr:from>
    <xdr:to>
      <xdr:col>7</xdr:col>
      <xdr:colOff>121920</xdr:colOff>
      <xdr:row>12</xdr:row>
      <xdr:rowOff>30480</xdr:rowOff>
    </xdr:to>
    <xdr:sp macro="" textlink="">
      <xdr:nvSpPr>
        <xdr:cNvPr id="2049" name="Text Box 1">
          <a:extLst>
            <a:ext uri="{FF2B5EF4-FFF2-40B4-BE49-F238E27FC236}">
              <a16:creationId xmlns:a16="http://schemas.microsoft.com/office/drawing/2014/main" id="{11CDE8AB-2BFF-B1E3-D1FF-8383387E1B61}"/>
            </a:ext>
          </a:extLst>
        </xdr:cNvPr>
        <xdr:cNvSpPr txBox="1">
          <a:spLocks noChangeArrowheads="1"/>
        </xdr:cNvSpPr>
      </xdr:nvSpPr>
      <xdr:spPr bwMode="auto">
        <a:xfrm>
          <a:off x="2781300" y="1813560"/>
          <a:ext cx="1607820" cy="411480"/>
        </a:xfrm>
        <a:prstGeom prst="rect">
          <a:avLst/>
        </a:prstGeom>
        <a:solidFill>
          <a:srgbClr val="FFFFFF"/>
        </a:solidFill>
        <a:ln w="9525">
          <a:solidFill>
            <a:srgbClr val="000000"/>
          </a:solidFill>
          <a:miter lim="800000"/>
          <a:headEnd/>
          <a:tailEnd/>
        </a:ln>
      </xdr:spPr>
      <xdr:txBody>
        <a:bodyPr vertOverflow="clip" wrap="square" lIns="36576" tIns="32004" rIns="0" bIns="0" anchor="ctr" upright="1"/>
        <a:lstStyle/>
        <a:p>
          <a:pPr algn="ctr" rtl="0">
            <a:defRPr sz="1000"/>
          </a:pPr>
          <a:r>
            <a:rPr lang="en-IN" sz="2400" b="1" i="0" u="none" strike="noStrike" baseline="0">
              <a:solidFill>
                <a:srgbClr val="002060"/>
              </a:solidFill>
              <a:latin typeface="Calibri"/>
              <a:ea typeface="Calibri"/>
              <a:cs typeface="Calibri"/>
            </a:rPr>
            <a:t>Analaytics</a:t>
          </a:r>
        </a:p>
      </xdr:txBody>
    </xdr:sp>
    <xdr:clientData/>
  </xdr:twoCellAnchor>
  <xdr:twoCellAnchor>
    <xdr:from>
      <xdr:col>4</xdr:col>
      <xdr:colOff>38100</xdr:colOff>
      <xdr:row>12</xdr:row>
      <xdr:rowOff>114300</xdr:rowOff>
    </xdr:from>
    <xdr:to>
      <xdr:col>8</xdr:col>
      <xdr:colOff>152400</xdr:colOff>
      <xdr:row>16</xdr:row>
      <xdr:rowOff>38100</xdr:rowOff>
    </xdr:to>
    <xdr:sp macro="" textlink="">
      <xdr:nvSpPr>
        <xdr:cNvPr id="18" name="Rectangle: Rounded Corners 17">
          <a:extLst>
            <a:ext uri="{FF2B5EF4-FFF2-40B4-BE49-F238E27FC236}">
              <a16:creationId xmlns:a16="http://schemas.microsoft.com/office/drawing/2014/main" id="{6D09EB66-E543-5EFD-C9BD-E80A0F16DFBF}"/>
            </a:ext>
          </a:extLst>
        </xdr:cNvPr>
        <xdr:cNvSpPr/>
      </xdr:nvSpPr>
      <xdr:spPr>
        <a:xfrm>
          <a:off x="2476500" y="2308860"/>
          <a:ext cx="2552700" cy="655320"/>
        </a:xfrm>
        <a:prstGeom prst="roundRect">
          <a:avLst>
            <a:gd name="adj" fmla="val 29688"/>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b="1" u="sng"/>
        </a:p>
      </xdr:txBody>
    </xdr:sp>
    <xdr:clientData/>
  </xdr:twoCellAnchor>
  <xdr:twoCellAnchor>
    <xdr:from>
      <xdr:col>4</xdr:col>
      <xdr:colOff>533400</xdr:colOff>
      <xdr:row>12</xdr:row>
      <xdr:rowOff>114300</xdr:rowOff>
    </xdr:from>
    <xdr:to>
      <xdr:col>8</xdr:col>
      <xdr:colOff>167640</xdr:colOff>
      <xdr:row>16</xdr:row>
      <xdr:rowOff>45720</xdr:rowOff>
    </xdr:to>
    <xdr:sp macro="" textlink="">
      <xdr:nvSpPr>
        <xdr:cNvPr id="20" name="Rectangle: Rounded Corners 19">
          <a:extLst>
            <a:ext uri="{FF2B5EF4-FFF2-40B4-BE49-F238E27FC236}">
              <a16:creationId xmlns:a16="http://schemas.microsoft.com/office/drawing/2014/main" id="{B27D91F3-C5A7-F8E5-A931-65BB1DEA53D0}"/>
            </a:ext>
          </a:extLst>
        </xdr:cNvPr>
        <xdr:cNvSpPr/>
      </xdr:nvSpPr>
      <xdr:spPr>
        <a:xfrm>
          <a:off x="2971800" y="2308860"/>
          <a:ext cx="2072640" cy="662940"/>
        </a:xfrm>
        <a:prstGeom prst="roundRect">
          <a:avLst>
            <a:gd name="adj" fmla="val 3181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rgbClr val="FFFF00"/>
              </a:solidFill>
            </a:rPr>
            <a:t>TOTAL</a:t>
          </a:r>
          <a:r>
            <a:rPr lang="en-IN" sz="1400" b="1" baseline="0">
              <a:solidFill>
                <a:srgbClr val="FFFF00"/>
              </a:solidFill>
            </a:rPr>
            <a:t> AMOUNT</a:t>
          </a:r>
        </a:p>
        <a:p>
          <a:pPr algn="ctr"/>
          <a:r>
            <a:rPr lang="en-IN" sz="1400" b="1" baseline="0">
              <a:solidFill>
                <a:srgbClr val="FFFF00"/>
              </a:solidFill>
            </a:rPr>
            <a:t>20498762</a:t>
          </a:r>
          <a:endParaRPr lang="en-IN" sz="1400" b="1">
            <a:solidFill>
              <a:srgbClr val="FFFF00"/>
            </a:solidFill>
          </a:endParaRPr>
        </a:p>
      </xdr:txBody>
    </xdr:sp>
    <xdr:clientData/>
  </xdr:twoCellAnchor>
  <xdr:twoCellAnchor editAs="oneCell">
    <xdr:from>
      <xdr:col>4</xdr:col>
      <xdr:colOff>137160</xdr:colOff>
      <xdr:row>13</xdr:row>
      <xdr:rowOff>53341</xdr:rowOff>
    </xdr:from>
    <xdr:to>
      <xdr:col>4</xdr:col>
      <xdr:colOff>487680</xdr:colOff>
      <xdr:row>15</xdr:row>
      <xdr:rowOff>121921</xdr:rowOff>
    </xdr:to>
    <xdr:pic>
      <xdr:nvPicPr>
        <xdr:cNvPr id="22" name="Graphic 21" descr="Rupee">
          <a:extLst>
            <a:ext uri="{FF2B5EF4-FFF2-40B4-BE49-F238E27FC236}">
              <a16:creationId xmlns:a16="http://schemas.microsoft.com/office/drawing/2014/main" id="{51C7BBA5-219A-80EA-B169-E4F4A5C404B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575560" y="2430781"/>
          <a:ext cx="350520" cy="434340"/>
        </a:xfrm>
        <a:prstGeom prst="rect">
          <a:avLst/>
        </a:prstGeom>
      </xdr:spPr>
    </xdr:pic>
    <xdr:clientData/>
  </xdr:twoCellAnchor>
  <xdr:twoCellAnchor>
    <xdr:from>
      <xdr:col>8</xdr:col>
      <xdr:colOff>419100</xdr:colOff>
      <xdr:row>12</xdr:row>
      <xdr:rowOff>76200</xdr:rowOff>
    </xdr:from>
    <xdr:to>
      <xdr:col>12</xdr:col>
      <xdr:colOff>579120</xdr:colOff>
      <xdr:row>16</xdr:row>
      <xdr:rowOff>22860</xdr:rowOff>
    </xdr:to>
    <xdr:sp macro="" textlink="">
      <xdr:nvSpPr>
        <xdr:cNvPr id="25" name="Rectangle: Rounded Corners 24">
          <a:extLst>
            <a:ext uri="{FF2B5EF4-FFF2-40B4-BE49-F238E27FC236}">
              <a16:creationId xmlns:a16="http://schemas.microsoft.com/office/drawing/2014/main" id="{727154F9-6F68-466D-ABDA-1A7028DFFDCC}"/>
            </a:ext>
          </a:extLst>
        </xdr:cNvPr>
        <xdr:cNvSpPr/>
      </xdr:nvSpPr>
      <xdr:spPr>
        <a:xfrm>
          <a:off x="5295900" y="2270760"/>
          <a:ext cx="2598420" cy="678180"/>
        </a:xfrm>
        <a:prstGeom prst="roundRect">
          <a:avLst>
            <a:gd name="adj" fmla="val 29688"/>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b="1" u="sng"/>
        </a:p>
      </xdr:txBody>
    </xdr:sp>
    <xdr:clientData/>
  </xdr:twoCellAnchor>
  <xdr:twoCellAnchor>
    <xdr:from>
      <xdr:col>9</xdr:col>
      <xdr:colOff>487680</xdr:colOff>
      <xdr:row>12</xdr:row>
      <xdr:rowOff>76200</xdr:rowOff>
    </xdr:from>
    <xdr:to>
      <xdr:col>12</xdr:col>
      <xdr:colOff>571500</xdr:colOff>
      <xdr:row>16</xdr:row>
      <xdr:rowOff>30480</xdr:rowOff>
    </xdr:to>
    <xdr:sp macro="" textlink="">
      <xdr:nvSpPr>
        <xdr:cNvPr id="27" name="Rectangle: Rounded Corners 26">
          <a:extLst>
            <a:ext uri="{FF2B5EF4-FFF2-40B4-BE49-F238E27FC236}">
              <a16:creationId xmlns:a16="http://schemas.microsoft.com/office/drawing/2014/main" id="{E51463AF-BE9E-406A-A1CD-F4FFEE64AA5C}"/>
            </a:ext>
          </a:extLst>
        </xdr:cNvPr>
        <xdr:cNvSpPr/>
      </xdr:nvSpPr>
      <xdr:spPr>
        <a:xfrm>
          <a:off x="5974080" y="2270760"/>
          <a:ext cx="1912620" cy="685800"/>
        </a:xfrm>
        <a:prstGeom prst="roundRect">
          <a:avLst>
            <a:gd name="adj" fmla="val 3181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rgbClr val="FFFF00"/>
              </a:solidFill>
            </a:rPr>
            <a:t>TOTAL SALES</a:t>
          </a:r>
        </a:p>
        <a:p>
          <a:pPr algn="ctr"/>
          <a:r>
            <a:rPr lang="en-IN" sz="1600" b="1">
              <a:solidFill>
                <a:srgbClr val="FFFF00"/>
              </a:solidFill>
            </a:rPr>
            <a:t>1736</a:t>
          </a:r>
        </a:p>
      </xdr:txBody>
    </xdr:sp>
    <xdr:clientData/>
  </xdr:twoCellAnchor>
  <xdr:twoCellAnchor editAs="oneCell">
    <xdr:from>
      <xdr:col>9</xdr:col>
      <xdr:colOff>7620</xdr:colOff>
      <xdr:row>13</xdr:row>
      <xdr:rowOff>30480</xdr:rowOff>
    </xdr:from>
    <xdr:to>
      <xdr:col>9</xdr:col>
      <xdr:colOff>464820</xdr:colOff>
      <xdr:row>15</xdr:row>
      <xdr:rowOff>160020</xdr:rowOff>
    </xdr:to>
    <xdr:pic>
      <xdr:nvPicPr>
        <xdr:cNvPr id="29" name="Graphic 28" descr="Group of women">
          <a:extLst>
            <a:ext uri="{FF2B5EF4-FFF2-40B4-BE49-F238E27FC236}">
              <a16:creationId xmlns:a16="http://schemas.microsoft.com/office/drawing/2014/main" id="{31E21056-664E-9812-660B-B68C7869D62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94020" y="2407920"/>
          <a:ext cx="457200" cy="495300"/>
        </a:xfrm>
        <a:prstGeom prst="rect">
          <a:avLst/>
        </a:prstGeom>
      </xdr:spPr>
    </xdr:pic>
    <xdr:clientData/>
  </xdr:twoCellAnchor>
  <xdr:twoCellAnchor>
    <xdr:from>
      <xdr:col>13</xdr:col>
      <xdr:colOff>38100</xdr:colOff>
      <xdr:row>9</xdr:row>
      <xdr:rowOff>121920</xdr:rowOff>
    </xdr:from>
    <xdr:to>
      <xdr:col>22</xdr:col>
      <xdr:colOff>571500</xdr:colOff>
      <xdr:row>18</xdr:row>
      <xdr:rowOff>45720</xdr:rowOff>
    </xdr:to>
    <xdr:graphicFrame macro="">
      <xdr:nvGraphicFramePr>
        <xdr:cNvPr id="32" name="Chart 31">
          <a:extLst>
            <a:ext uri="{FF2B5EF4-FFF2-40B4-BE49-F238E27FC236}">
              <a16:creationId xmlns:a16="http://schemas.microsoft.com/office/drawing/2014/main" id="{91FD60D1-3848-4712-ACB8-33E066CC21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53340</xdr:colOff>
      <xdr:row>18</xdr:row>
      <xdr:rowOff>83820</xdr:rowOff>
    </xdr:from>
    <xdr:to>
      <xdr:col>22</xdr:col>
      <xdr:colOff>541020</xdr:colOff>
      <xdr:row>27</xdr:row>
      <xdr:rowOff>129540</xdr:rowOff>
    </xdr:to>
    <xdr:graphicFrame macro="">
      <xdr:nvGraphicFramePr>
        <xdr:cNvPr id="33" name="Chart 32">
          <a:extLst>
            <a:ext uri="{FF2B5EF4-FFF2-40B4-BE49-F238E27FC236}">
              <a16:creationId xmlns:a16="http://schemas.microsoft.com/office/drawing/2014/main" id="{43D55AF0-00DF-4173-9479-342432CF07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358140</xdr:colOff>
      <xdr:row>16</xdr:row>
      <xdr:rowOff>121920</xdr:rowOff>
    </xdr:from>
    <xdr:to>
      <xdr:col>12</xdr:col>
      <xdr:colOff>495300</xdr:colOff>
      <xdr:row>27</xdr:row>
      <xdr:rowOff>137160</xdr:rowOff>
    </xdr:to>
    <xdr:graphicFrame macro="">
      <xdr:nvGraphicFramePr>
        <xdr:cNvPr id="16" name="Chart 15">
          <a:extLst>
            <a:ext uri="{FF2B5EF4-FFF2-40B4-BE49-F238E27FC236}">
              <a16:creationId xmlns:a16="http://schemas.microsoft.com/office/drawing/2014/main" id="{8035C302-1E6D-47A6-9357-6CA3694798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-70599</xdr:colOff>
      <xdr:row>0</xdr:row>
      <xdr:rowOff>26029</xdr:rowOff>
    </xdr:from>
    <xdr:to>
      <xdr:col>23</xdr:col>
      <xdr:colOff>169660</xdr:colOff>
      <xdr:row>28</xdr:row>
      <xdr:rowOff>111132</xdr:rowOff>
    </xdr:to>
    <xdr:sp macro="" textlink="">
      <xdr:nvSpPr>
        <xdr:cNvPr id="2" name="Rectangle: Rounded Corners 1">
          <a:extLst>
            <a:ext uri="{FF2B5EF4-FFF2-40B4-BE49-F238E27FC236}">
              <a16:creationId xmlns:a16="http://schemas.microsoft.com/office/drawing/2014/main" id="{BE0AFB3A-684A-4DB4-80DA-D1C340E8B41E}"/>
            </a:ext>
          </a:extLst>
        </xdr:cNvPr>
        <xdr:cNvSpPr/>
      </xdr:nvSpPr>
      <xdr:spPr>
        <a:xfrm>
          <a:off x="-70599" y="26029"/>
          <a:ext cx="14261059" cy="5205743"/>
        </a:xfrm>
        <a:prstGeom prst="roundRect">
          <a:avLst>
            <a:gd name="adj" fmla="val 779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114300</xdr:colOff>
      <xdr:row>0</xdr:row>
      <xdr:rowOff>99060</xdr:rowOff>
    </xdr:from>
    <xdr:to>
      <xdr:col>23</xdr:col>
      <xdr:colOff>45720</xdr:colOff>
      <xdr:row>28</xdr:row>
      <xdr:rowOff>68580</xdr:rowOff>
    </xdr:to>
    <xdr:sp macro="" textlink="">
      <xdr:nvSpPr>
        <xdr:cNvPr id="3" name="Rectangle: Rounded Corners 2">
          <a:extLst>
            <a:ext uri="{FF2B5EF4-FFF2-40B4-BE49-F238E27FC236}">
              <a16:creationId xmlns:a16="http://schemas.microsoft.com/office/drawing/2014/main" id="{E1014459-7293-4E2D-9CBC-399221AAB7CE}"/>
            </a:ext>
          </a:extLst>
        </xdr:cNvPr>
        <xdr:cNvSpPr/>
      </xdr:nvSpPr>
      <xdr:spPr>
        <a:xfrm>
          <a:off x="1943100" y="99060"/>
          <a:ext cx="12123420" cy="5090160"/>
        </a:xfrm>
        <a:prstGeom prst="roundRect">
          <a:avLst>
            <a:gd name="adj" fmla="val 8583"/>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0"/>
            <a:t>aamdfmckj</a:t>
          </a:r>
        </a:p>
      </xdr:txBody>
    </xdr:sp>
    <xdr:clientData/>
  </xdr:twoCellAnchor>
  <xdr:twoCellAnchor>
    <xdr:from>
      <xdr:col>0</xdr:col>
      <xdr:colOff>152400</xdr:colOff>
      <xdr:row>9</xdr:row>
      <xdr:rowOff>53340</xdr:rowOff>
    </xdr:from>
    <xdr:to>
      <xdr:col>2</xdr:col>
      <xdr:colOff>533400</xdr:colOff>
      <xdr:row>12</xdr:row>
      <xdr:rowOff>15240</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FA8AE7BE-5CD0-4AFB-B77F-0A5C63A79A80}"/>
            </a:ext>
          </a:extLst>
        </xdr:cNvPr>
        <xdr:cNvSpPr/>
      </xdr:nvSpPr>
      <xdr:spPr>
        <a:xfrm>
          <a:off x="152400" y="1699260"/>
          <a:ext cx="1600200" cy="510540"/>
        </a:xfrm>
        <a:prstGeom prst="roundRect">
          <a:avLst>
            <a:gd name="adj" fmla="val 29524"/>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i="0">
              <a:solidFill>
                <a:schemeClr val="bg1"/>
              </a:solidFill>
            </a:rPr>
            <a:t>DASHBOARD</a:t>
          </a:r>
        </a:p>
      </xdr:txBody>
    </xdr:sp>
    <xdr:clientData/>
  </xdr:twoCellAnchor>
  <xdr:twoCellAnchor>
    <xdr:from>
      <xdr:col>0</xdr:col>
      <xdr:colOff>160020</xdr:colOff>
      <xdr:row>14</xdr:row>
      <xdr:rowOff>15240</xdr:rowOff>
    </xdr:from>
    <xdr:to>
      <xdr:col>2</xdr:col>
      <xdr:colOff>541020</xdr:colOff>
      <xdr:row>16</xdr:row>
      <xdr:rowOff>160020</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B28AC42B-A433-4ED7-8808-692ADBEAC85A}"/>
            </a:ext>
          </a:extLst>
        </xdr:cNvPr>
        <xdr:cNvSpPr/>
      </xdr:nvSpPr>
      <xdr:spPr>
        <a:xfrm>
          <a:off x="160020" y="2575560"/>
          <a:ext cx="1600200" cy="510540"/>
        </a:xfrm>
        <a:prstGeom prst="roundRect">
          <a:avLst>
            <a:gd name="adj" fmla="val 2952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PRODUCTS</a:t>
          </a:r>
        </a:p>
      </xdr:txBody>
    </xdr:sp>
    <xdr:clientData/>
  </xdr:twoCellAnchor>
  <xdr:twoCellAnchor>
    <xdr:from>
      <xdr:col>0</xdr:col>
      <xdr:colOff>129540</xdr:colOff>
      <xdr:row>19</xdr:row>
      <xdr:rowOff>53340</xdr:rowOff>
    </xdr:from>
    <xdr:to>
      <xdr:col>2</xdr:col>
      <xdr:colOff>510540</xdr:colOff>
      <xdr:row>22</xdr:row>
      <xdr:rowOff>15240</xdr:rowOff>
    </xdr:to>
    <xdr:sp macro="" textlink="">
      <xdr:nvSpPr>
        <xdr:cNvPr id="6" name="Rectangle: Rounded Corners 5">
          <a:extLst>
            <a:ext uri="{FF2B5EF4-FFF2-40B4-BE49-F238E27FC236}">
              <a16:creationId xmlns:a16="http://schemas.microsoft.com/office/drawing/2014/main" id="{56C7B1D4-6F36-4AB2-A1BC-22D0FDBCD3F2}"/>
            </a:ext>
          </a:extLst>
        </xdr:cNvPr>
        <xdr:cNvSpPr/>
      </xdr:nvSpPr>
      <xdr:spPr>
        <a:xfrm>
          <a:off x="129540" y="3528060"/>
          <a:ext cx="1600200" cy="510540"/>
        </a:xfrm>
        <a:prstGeom prst="roundRect">
          <a:avLst>
            <a:gd name="adj" fmla="val 2952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SALES MANS</a:t>
          </a:r>
        </a:p>
      </xdr:txBody>
    </xdr:sp>
    <xdr:clientData/>
  </xdr:twoCellAnchor>
  <xdr:twoCellAnchor>
    <xdr:from>
      <xdr:col>3</xdr:col>
      <xdr:colOff>281940</xdr:colOff>
      <xdr:row>1</xdr:row>
      <xdr:rowOff>22860</xdr:rowOff>
    </xdr:from>
    <xdr:to>
      <xdr:col>13</xdr:col>
      <xdr:colOff>7620</xdr:colOff>
      <xdr:row>6</xdr:row>
      <xdr:rowOff>7620</xdr:rowOff>
    </xdr:to>
    <xdr:sp macro="" textlink="">
      <xdr:nvSpPr>
        <xdr:cNvPr id="8" name="Rectangle 7">
          <a:extLst>
            <a:ext uri="{FF2B5EF4-FFF2-40B4-BE49-F238E27FC236}">
              <a16:creationId xmlns:a16="http://schemas.microsoft.com/office/drawing/2014/main" id="{85C1AF13-7A0F-4416-8FF8-E21393B3B222}"/>
            </a:ext>
          </a:extLst>
        </xdr:cNvPr>
        <xdr:cNvSpPr/>
      </xdr:nvSpPr>
      <xdr:spPr>
        <a:xfrm>
          <a:off x="2110740" y="205740"/>
          <a:ext cx="5821680" cy="8991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213360</xdr:colOff>
      <xdr:row>1</xdr:row>
      <xdr:rowOff>15240</xdr:rowOff>
    </xdr:from>
    <xdr:to>
      <xdr:col>22</xdr:col>
      <xdr:colOff>457200</xdr:colOff>
      <xdr:row>6</xdr:row>
      <xdr:rowOff>0</xdr:rowOff>
    </xdr:to>
    <xdr:sp macro="" textlink="">
      <xdr:nvSpPr>
        <xdr:cNvPr id="9" name="Rectangle 8">
          <a:extLst>
            <a:ext uri="{FF2B5EF4-FFF2-40B4-BE49-F238E27FC236}">
              <a16:creationId xmlns:a16="http://schemas.microsoft.com/office/drawing/2014/main" id="{78E45039-C6F9-49B0-89DC-A66D168D5208}"/>
            </a:ext>
          </a:extLst>
        </xdr:cNvPr>
        <xdr:cNvSpPr/>
      </xdr:nvSpPr>
      <xdr:spPr>
        <a:xfrm>
          <a:off x="8138160" y="198120"/>
          <a:ext cx="5730240" cy="8991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167640</xdr:colOff>
      <xdr:row>6</xdr:row>
      <xdr:rowOff>68580</xdr:rowOff>
    </xdr:from>
    <xdr:to>
      <xdr:col>22</xdr:col>
      <xdr:colOff>586740</xdr:colOff>
      <xdr:row>9</xdr:row>
      <xdr:rowOff>53340</xdr:rowOff>
    </xdr:to>
    <xdr:sp macro="" textlink="">
      <xdr:nvSpPr>
        <xdr:cNvPr id="10" name="Rectangle 9">
          <a:extLst>
            <a:ext uri="{FF2B5EF4-FFF2-40B4-BE49-F238E27FC236}">
              <a16:creationId xmlns:a16="http://schemas.microsoft.com/office/drawing/2014/main" id="{C2E379B7-D6DA-4F02-8891-4DCE72CDC9CA}"/>
            </a:ext>
          </a:extLst>
        </xdr:cNvPr>
        <xdr:cNvSpPr/>
      </xdr:nvSpPr>
      <xdr:spPr>
        <a:xfrm>
          <a:off x="1996440" y="1165860"/>
          <a:ext cx="12001500" cy="533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13</xdr:col>
      <xdr:colOff>403860</xdr:colOff>
      <xdr:row>1</xdr:row>
      <xdr:rowOff>106680</xdr:rowOff>
    </xdr:from>
    <xdr:to>
      <xdr:col>22</xdr:col>
      <xdr:colOff>274320</xdr:colOff>
      <xdr:row>5</xdr:row>
      <xdr:rowOff>38099</xdr:rowOff>
    </xdr:to>
    <mc:AlternateContent xmlns:mc="http://schemas.openxmlformats.org/markup-compatibility/2006" xmlns:a14="http://schemas.microsoft.com/office/drawing/2010/main">
      <mc:Choice Requires="a14">
        <xdr:graphicFrame macro="">
          <xdr:nvGraphicFramePr>
            <xdr:cNvPr id="12" name="Region 2">
              <a:extLst>
                <a:ext uri="{FF2B5EF4-FFF2-40B4-BE49-F238E27FC236}">
                  <a16:creationId xmlns:a16="http://schemas.microsoft.com/office/drawing/2014/main" id="{62DE2B0B-12AA-4B86-BD0B-375C898AE041}"/>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328660" y="289560"/>
              <a:ext cx="5356860" cy="662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228600</xdr:colOff>
      <xdr:row>6</xdr:row>
      <xdr:rowOff>121920</xdr:rowOff>
    </xdr:from>
    <xdr:to>
      <xdr:col>22</xdr:col>
      <xdr:colOff>525780</xdr:colOff>
      <xdr:row>8</xdr:row>
      <xdr:rowOff>152400</xdr:rowOff>
    </xdr:to>
    <mc:AlternateContent xmlns:mc="http://schemas.openxmlformats.org/markup-compatibility/2006" xmlns:a14="http://schemas.microsoft.com/office/drawing/2010/main">
      <mc:Choice Requires="a14">
        <xdr:graphicFrame macro="">
          <xdr:nvGraphicFramePr>
            <xdr:cNvPr id="13" name="Product 2">
              <a:extLst>
                <a:ext uri="{FF2B5EF4-FFF2-40B4-BE49-F238E27FC236}">
                  <a16:creationId xmlns:a16="http://schemas.microsoft.com/office/drawing/2014/main" id="{100B5682-0C51-49C2-9DC1-FD5194D0A010}"/>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2057400" y="1219200"/>
              <a:ext cx="11879580" cy="396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228600</xdr:colOff>
      <xdr:row>9</xdr:row>
      <xdr:rowOff>152400</xdr:rowOff>
    </xdr:from>
    <xdr:to>
      <xdr:col>4</xdr:col>
      <xdr:colOff>312420</xdr:colOff>
      <xdr:row>12</xdr:row>
      <xdr:rowOff>68580</xdr:rowOff>
    </xdr:to>
    <xdr:pic>
      <xdr:nvPicPr>
        <xdr:cNvPr id="14" name="Graphic 13" descr="Bar graph with upward trend">
          <a:extLst>
            <a:ext uri="{FF2B5EF4-FFF2-40B4-BE49-F238E27FC236}">
              <a16:creationId xmlns:a16="http://schemas.microsoft.com/office/drawing/2014/main" id="{399B8202-6C87-4770-AC84-DE465F20250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057400" y="1798320"/>
          <a:ext cx="693420" cy="464820"/>
        </a:xfrm>
        <a:prstGeom prst="rect">
          <a:avLst/>
        </a:prstGeom>
      </xdr:spPr>
    </xdr:pic>
    <xdr:clientData/>
  </xdr:twoCellAnchor>
  <xdr:twoCellAnchor>
    <xdr:from>
      <xdr:col>4</xdr:col>
      <xdr:colOff>342900</xdr:colOff>
      <xdr:row>9</xdr:row>
      <xdr:rowOff>167640</xdr:rowOff>
    </xdr:from>
    <xdr:to>
      <xdr:col>7</xdr:col>
      <xdr:colOff>121920</xdr:colOff>
      <xdr:row>12</xdr:row>
      <xdr:rowOff>30480</xdr:rowOff>
    </xdr:to>
    <xdr:sp macro="" textlink="">
      <xdr:nvSpPr>
        <xdr:cNvPr id="15" name="Text Box 1">
          <a:extLst>
            <a:ext uri="{FF2B5EF4-FFF2-40B4-BE49-F238E27FC236}">
              <a16:creationId xmlns:a16="http://schemas.microsoft.com/office/drawing/2014/main" id="{6D129206-8344-4DDC-9FFE-1F4A3308F74D}"/>
            </a:ext>
          </a:extLst>
        </xdr:cNvPr>
        <xdr:cNvSpPr txBox="1">
          <a:spLocks noChangeArrowheads="1"/>
        </xdr:cNvSpPr>
      </xdr:nvSpPr>
      <xdr:spPr bwMode="auto">
        <a:xfrm>
          <a:off x="2781300" y="1813560"/>
          <a:ext cx="1607820" cy="411480"/>
        </a:xfrm>
        <a:prstGeom prst="rect">
          <a:avLst/>
        </a:prstGeom>
        <a:solidFill>
          <a:srgbClr val="FFFFFF"/>
        </a:solidFill>
        <a:ln w="9525">
          <a:solidFill>
            <a:srgbClr val="000000"/>
          </a:solidFill>
          <a:miter lim="800000"/>
          <a:headEnd/>
          <a:tailEnd/>
        </a:ln>
      </xdr:spPr>
      <xdr:txBody>
        <a:bodyPr vertOverflow="clip" wrap="square" lIns="36576" tIns="32004" rIns="0" bIns="0" anchor="ctr" upright="1"/>
        <a:lstStyle/>
        <a:p>
          <a:pPr algn="ctr" rtl="0">
            <a:defRPr sz="1000"/>
          </a:pPr>
          <a:r>
            <a:rPr lang="en-IN" sz="2400" b="1" i="0" u="none" strike="noStrike" baseline="0">
              <a:solidFill>
                <a:srgbClr val="002060"/>
              </a:solidFill>
              <a:latin typeface="Calibri"/>
              <a:ea typeface="Calibri"/>
              <a:cs typeface="Calibri"/>
            </a:rPr>
            <a:t>Analaytics</a:t>
          </a:r>
        </a:p>
      </xdr:txBody>
    </xdr:sp>
    <xdr:clientData/>
  </xdr:twoCellAnchor>
  <xdr:twoCellAnchor>
    <xdr:from>
      <xdr:col>3</xdr:col>
      <xdr:colOff>259080</xdr:colOff>
      <xdr:row>12</xdr:row>
      <xdr:rowOff>91440</xdr:rowOff>
    </xdr:from>
    <xdr:to>
      <xdr:col>12</xdr:col>
      <xdr:colOff>464820</xdr:colOff>
      <xdr:row>27</xdr:row>
      <xdr:rowOff>91440</xdr:rowOff>
    </xdr:to>
    <xdr:graphicFrame macro="">
      <xdr:nvGraphicFramePr>
        <xdr:cNvPr id="25" name="Chart 24">
          <a:extLst>
            <a:ext uri="{FF2B5EF4-FFF2-40B4-BE49-F238E27FC236}">
              <a16:creationId xmlns:a16="http://schemas.microsoft.com/office/drawing/2014/main" id="{7152ABE3-43CF-40E6-A90B-6B6D941E40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594360</xdr:colOff>
      <xdr:row>9</xdr:row>
      <xdr:rowOff>106680</xdr:rowOff>
    </xdr:from>
    <xdr:to>
      <xdr:col>22</xdr:col>
      <xdr:colOff>556260</xdr:colOff>
      <xdr:row>18</xdr:row>
      <xdr:rowOff>38100</xdr:rowOff>
    </xdr:to>
    <xdr:graphicFrame macro="">
      <xdr:nvGraphicFramePr>
        <xdr:cNvPr id="26" name="Chart 25">
          <a:extLst>
            <a:ext uri="{FF2B5EF4-FFF2-40B4-BE49-F238E27FC236}">
              <a16:creationId xmlns:a16="http://schemas.microsoft.com/office/drawing/2014/main" id="{B9C43A4E-2D6A-46E3-80DD-4E4B6D7790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594360</xdr:colOff>
      <xdr:row>18</xdr:row>
      <xdr:rowOff>167640</xdr:rowOff>
    </xdr:from>
    <xdr:to>
      <xdr:col>22</xdr:col>
      <xdr:colOff>541020</xdr:colOff>
      <xdr:row>27</xdr:row>
      <xdr:rowOff>83820</xdr:rowOff>
    </xdr:to>
    <xdr:graphicFrame macro="">
      <xdr:nvGraphicFramePr>
        <xdr:cNvPr id="27" name="Chart 26">
          <a:extLst>
            <a:ext uri="{FF2B5EF4-FFF2-40B4-BE49-F238E27FC236}">
              <a16:creationId xmlns:a16="http://schemas.microsoft.com/office/drawing/2014/main" id="{F4E82AD0-CCBA-43F2-BBFB-45F4452CE7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495300</xdr:colOff>
      <xdr:row>1</xdr:row>
      <xdr:rowOff>114300</xdr:rowOff>
    </xdr:from>
    <xdr:to>
      <xdr:col>12</xdr:col>
      <xdr:colOff>396240</xdr:colOff>
      <xdr:row>5</xdr:row>
      <xdr:rowOff>114299</xdr:rowOff>
    </xdr:to>
    <mc:AlternateContent xmlns:mc="http://schemas.openxmlformats.org/markup-compatibility/2006" xmlns:a14="http://schemas.microsoft.com/office/drawing/2010/main">
      <mc:Choice Requires="a14">
        <xdr:graphicFrame macro="">
          <xdr:nvGraphicFramePr>
            <xdr:cNvPr id="7" name="Months (Order_Date) 2">
              <a:extLst>
                <a:ext uri="{FF2B5EF4-FFF2-40B4-BE49-F238E27FC236}">
                  <a16:creationId xmlns:a16="http://schemas.microsoft.com/office/drawing/2014/main" id="{34963402-536C-49F1-98F7-A88F0FE3E4FA}"/>
                </a:ext>
              </a:extLst>
            </xdr:cNvPr>
            <xdr:cNvGraphicFramePr/>
          </xdr:nvGraphicFramePr>
          <xdr:xfrm>
            <a:off x="0" y="0"/>
            <a:ext cx="0" cy="0"/>
          </xdr:xfrm>
          <a:graphic>
            <a:graphicData uri="http://schemas.microsoft.com/office/drawing/2010/slicer">
              <sle:slicer xmlns:sle="http://schemas.microsoft.com/office/drawing/2010/slicer" name="Months (Order_Date) 2"/>
            </a:graphicData>
          </a:graphic>
        </xdr:graphicFrame>
      </mc:Choice>
      <mc:Fallback xmlns="">
        <xdr:sp macro="" textlink="">
          <xdr:nvSpPr>
            <xdr:cNvPr id="0" name=""/>
            <xdr:cNvSpPr>
              <a:spLocks noTextEdit="1"/>
            </xdr:cNvSpPr>
          </xdr:nvSpPr>
          <xdr:spPr>
            <a:xfrm>
              <a:off x="2324100" y="297180"/>
              <a:ext cx="5387340" cy="731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-70599</xdr:colOff>
      <xdr:row>0</xdr:row>
      <xdr:rowOff>26029</xdr:rowOff>
    </xdr:from>
    <xdr:to>
      <xdr:col>23</xdr:col>
      <xdr:colOff>169660</xdr:colOff>
      <xdr:row>28</xdr:row>
      <xdr:rowOff>111132</xdr:rowOff>
    </xdr:to>
    <xdr:sp macro="" textlink="">
      <xdr:nvSpPr>
        <xdr:cNvPr id="2" name="Rectangle: Rounded Corners 1">
          <a:extLst>
            <a:ext uri="{FF2B5EF4-FFF2-40B4-BE49-F238E27FC236}">
              <a16:creationId xmlns:a16="http://schemas.microsoft.com/office/drawing/2014/main" id="{DEEB56C2-D09C-463D-81F8-9EC7D4E2D14F}"/>
            </a:ext>
          </a:extLst>
        </xdr:cNvPr>
        <xdr:cNvSpPr/>
      </xdr:nvSpPr>
      <xdr:spPr>
        <a:xfrm>
          <a:off x="-70599" y="26029"/>
          <a:ext cx="14261059" cy="5205743"/>
        </a:xfrm>
        <a:prstGeom prst="roundRect">
          <a:avLst>
            <a:gd name="adj" fmla="val 779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114300</xdr:colOff>
      <xdr:row>0</xdr:row>
      <xdr:rowOff>99060</xdr:rowOff>
    </xdr:from>
    <xdr:to>
      <xdr:col>23</xdr:col>
      <xdr:colOff>45720</xdr:colOff>
      <xdr:row>28</xdr:row>
      <xdr:rowOff>68580</xdr:rowOff>
    </xdr:to>
    <xdr:sp macro="" textlink="">
      <xdr:nvSpPr>
        <xdr:cNvPr id="3" name="Rectangle: Rounded Corners 2">
          <a:extLst>
            <a:ext uri="{FF2B5EF4-FFF2-40B4-BE49-F238E27FC236}">
              <a16:creationId xmlns:a16="http://schemas.microsoft.com/office/drawing/2014/main" id="{7B565754-A8C7-40E6-89EF-5432E6448D7C}"/>
            </a:ext>
          </a:extLst>
        </xdr:cNvPr>
        <xdr:cNvSpPr/>
      </xdr:nvSpPr>
      <xdr:spPr>
        <a:xfrm>
          <a:off x="1943100" y="99060"/>
          <a:ext cx="12123420" cy="5090160"/>
        </a:xfrm>
        <a:prstGeom prst="roundRect">
          <a:avLst>
            <a:gd name="adj" fmla="val 8583"/>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0"/>
            <a:t>aamdfmckj</a:t>
          </a:r>
        </a:p>
      </xdr:txBody>
    </xdr:sp>
    <xdr:clientData/>
  </xdr:twoCellAnchor>
  <xdr:twoCellAnchor>
    <xdr:from>
      <xdr:col>0</xdr:col>
      <xdr:colOff>152400</xdr:colOff>
      <xdr:row>9</xdr:row>
      <xdr:rowOff>53340</xdr:rowOff>
    </xdr:from>
    <xdr:to>
      <xdr:col>2</xdr:col>
      <xdr:colOff>533400</xdr:colOff>
      <xdr:row>12</xdr:row>
      <xdr:rowOff>15240</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26521F02-0479-4A95-B390-578E0042A17E}"/>
            </a:ext>
          </a:extLst>
        </xdr:cNvPr>
        <xdr:cNvSpPr/>
      </xdr:nvSpPr>
      <xdr:spPr>
        <a:xfrm>
          <a:off x="152400" y="1699260"/>
          <a:ext cx="1600200" cy="510540"/>
        </a:xfrm>
        <a:prstGeom prst="roundRect">
          <a:avLst>
            <a:gd name="adj" fmla="val 29524"/>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i="0">
              <a:solidFill>
                <a:schemeClr val="bg1"/>
              </a:solidFill>
            </a:rPr>
            <a:t>DASHBOARD</a:t>
          </a:r>
        </a:p>
      </xdr:txBody>
    </xdr:sp>
    <xdr:clientData/>
  </xdr:twoCellAnchor>
  <xdr:twoCellAnchor>
    <xdr:from>
      <xdr:col>0</xdr:col>
      <xdr:colOff>160020</xdr:colOff>
      <xdr:row>14</xdr:row>
      <xdr:rowOff>15240</xdr:rowOff>
    </xdr:from>
    <xdr:to>
      <xdr:col>2</xdr:col>
      <xdr:colOff>541020</xdr:colOff>
      <xdr:row>16</xdr:row>
      <xdr:rowOff>160020</xdr:rowOff>
    </xdr:to>
    <xdr:sp macro="" textlink="">
      <xdr:nvSpPr>
        <xdr:cNvPr id="5" name="Rectangle: Rounded Corners 4">
          <a:extLst>
            <a:ext uri="{FF2B5EF4-FFF2-40B4-BE49-F238E27FC236}">
              <a16:creationId xmlns:a16="http://schemas.microsoft.com/office/drawing/2014/main" id="{150F5DCC-75A0-43E5-94DA-B3F6F728AAA4}"/>
            </a:ext>
          </a:extLst>
        </xdr:cNvPr>
        <xdr:cNvSpPr/>
      </xdr:nvSpPr>
      <xdr:spPr>
        <a:xfrm>
          <a:off x="160020" y="2575560"/>
          <a:ext cx="1600200" cy="510540"/>
        </a:xfrm>
        <a:prstGeom prst="roundRect">
          <a:avLst>
            <a:gd name="adj" fmla="val 29524"/>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PRODUCTS</a:t>
          </a:r>
        </a:p>
      </xdr:txBody>
    </xdr:sp>
    <xdr:clientData/>
  </xdr:twoCellAnchor>
  <xdr:twoCellAnchor>
    <xdr:from>
      <xdr:col>0</xdr:col>
      <xdr:colOff>129540</xdr:colOff>
      <xdr:row>19</xdr:row>
      <xdr:rowOff>53340</xdr:rowOff>
    </xdr:from>
    <xdr:to>
      <xdr:col>2</xdr:col>
      <xdr:colOff>510540</xdr:colOff>
      <xdr:row>22</xdr:row>
      <xdr:rowOff>15240</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584EF56A-4B00-45D3-872A-501C6C82B55B}"/>
            </a:ext>
          </a:extLst>
        </xdr:cNvPr>
        <xdr:cNvSpPr/>
      </xdr:nvSpPr>
      <xdr:spPr>
        <a:xfrm>
          <a:off x="129540" y="3528060"/>
          <a:ext cx="1600200" cy="510540"/>
        </a:xfrm>
        <a:prstGeom prst="roundRect">
          <a:avLst>
            <a:gd name="adj" fmla="val 2952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SALES MANS</a:t>
          </a:r>
        </a:p>
      </xdr:txBody>
    </xdr:sp>
    <xdr:clientData/>
  </xdr:twoCellAnchor>
  <xdr:twoCellAnchor>
    <xdr:from>
      <xdr:col>3</xdr:col>
      <xdr:colOff>281940</xdr:colOff>
      <xdr:row>1</xdr:row>
      <xdr:rowOff>22860</xdr:rowOff>
    </xdr:from>
    <xdr:to>
      <xdr:col>13</xdr:col>
      <xdr:colOff>7620</xdr:colOff>
      <xdr:row>6</xdr:row>
      <xdr:rowOff>7620</xdr:rowOff>
    </xdr:to>
    <xdr:sp macro="" textlink="">
      <xdr:nvSpPr>
        <xdr:cNvPr id="7" name="Rectangle 6">
          <a:extLst>
            <a:ext uri="{FF2B5EF4-FFF2-40B4-BE49-F238E27FC236}">
              <a16:creationId xmlns:a16="http://schemas.microsoft.com/office/drawing/2014/main" id="{D8C44D51-D670-4FAF-93F9-4A88C25BA0A7}"/>
            </a:ext>
          </a:extLst>
        </xdr:cNvPr>
        <xdr:cNvSpPr/>
      </xdr:nvSpPr>
      <xdr:spPr>
        <a:xfrm>
          <a:off x="2110740" y="205740"/>
          <a:ext cx="5821680" cy="8991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213360</xdr:colOff>
      <xdr:row>1</xdr:row>
      <xdr:rowOff>15240</xdr:rowOff>
    </xdr:from>
    <xdr:to>
      <xdr:col>22</xdr:col>
      <xdr:colOff>457200</xdr:colOff>
      <xdr:row>6</xdr:row>
      <xdr:rowOff>0</xdr:rowOff>
    </xdr:to>
    <xdr:sp macro="" textlink="">
      <xdr:nvSpPr>
        <xdr:cNvPr id="8" name="Rectangle 7">
          <a:extLst>
            <a:ext uri="{FF2B5EF4-FFF2-40B4-BE49-F238E27FC236}">
              <a16:creationId xmlns:a16="http://schemas.microsoft.com/office/drawing/2014/main" id="{E6FB7911-48F7-4B8E-986D-1EFC3CCF4F51}"/>
            </a:ext>
          </a:extLst>
        </xdr:cNvPr>
        <xdr:cNvSpPr/>
      </xdr:nvSpPr>
      <xdr:spPr>
        <a:xfrm>
          <a:off x="8138160" y="198120"/>
          <a:ext cx="5730240" cy="8991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167640</xdr:colOff>
      <xdr:row>6</xdr:row>
      <xdr:rowOff>68580</xdr:rowOff>
    </xdr:from>
    <xdr:to>
      <xdr:col>22</xdr:col>
      <xdr:colOff>586740</xdr:colOff>
      <xdr:row>9</xdr:row>
      <xdr:rowOff>53340</xdr:rowOff>
    </xdr:to>
    <xdr:sp macro="" textlink="">
      <xdr:nvSpPr>
        <xdr:cNvPr id="9" name="Rectangle 8">
          <a:extLst>
            <a:ext uri="{FF2B5EF4-FFF2-40B4-BE49-F238E27FC236}">
              <a16:creationId xmlns:a16="http://schemas.microsoft.com/office/drawing/2014/main" id="{769FE792-F9EC-4026-A33E-B3D22AF34195}"/>
            </a:ext>
          </a:extLst>
        </xdr:cNvPr>
        <xdr:cNvSpPr/>
      </xdr:nvSpPr>
      <xdr:spPr>
        <a:xfrm>
          <a:off x="1996440" y="1165860"/>
          <a:ext cx="12001500" cy="533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487680</xdr:colOff>
      <xdr:row>1</xdr:row>
      <xdr:rowOff>83820</xdr:rowOff>
    </xdr:from>
    <xdr:to>
      <xdr:col>12</xdr:col>
      <xdr:colOff>388620</xdr:colOff>
      <xdr:row>5</xdr:row>
      <xdr:rowOff>83819</xdr:rowOff>
    </xdr:to>
    <mc:AlternateContent xmlns:mc="http://schemas.openxmlformats.org/markup-compatibility/2006" xmlns:a14="http://schemas.microsoft.com/office/drawing/2010/main">
      <mc:Choice Requires="a14">
        <xdr:graphicFrame macro="">
          <xdr:nvGraphicFramePr>
            <xdr:cNvPr id="10" name="Months (Order_Date) 3">
              <a:extLst>
                <a:ext uri="{FF2B5EF4-FFF2-40B4-BE49-F238E27FC236}">
                  <a16:creationId xmlns:a16="http://schemas.microsoft.com/office/drawing/2014/main" id="{8A9029B7-BCB4-4DCE-B097-AA352DBE53D0}"/>
                </a:ext>
              </a:extLst>
            </xdr:cNvPr>
            <xdr:cNvGraphicFramePr/>
          </xdr:nvGraphicFramePr>
          <xdr:xfrm>
            <a:off x="0" y="0"/>
            <a:ext cx="0" cy="0"/>
          </xdr:xfrm>
          <a:graphic>
            <a:graphicData uri="http://schemas.microsoft.com/office/drawing/2010/slicer">
              <sle:slicer xmlns:sle="http://schemas.microsoft.com/office/drawing/2010/slicer" name="Months (Order_Date) 3"/>
            </a:graphicData>
          </a:graphic>
        </xdr:graphicFrame>
      </mc:Choice>
      <mc:Fallback xmlns="">
        <xdr:sp macro="" textlink="">
          <xdr:nvSpPr>
            <xdr:cNvPr id="0" name=""/>
            <xdr:cNvSpPr>
              <a:spLocks noTextEdit="1"/>
            </xdr:cNvSpPr>
          </xdr:nvSpPr>
          <xdr:spPr>
            <a:xfrm>
              <a:off x="2316480" y="266700"/>
              <a:ext cx="5387340" cy="731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403860</xdr:colOff>
      <xdr:row>1</xdr:row>
      <xdr:rowOff>106680</xdr:rowOff>
    </xdr:from>
    <xdr:to>
      <xdr:col>22</xdr:col>
      <xdr:colOff>274320</xdr:colOff>
      <xdr:row>5</xdr:row>
      <xdr:rowOff>38099</xdr:rowOff>
    </xdr:to>
    <mc:AlternateContent xmlns:mc="http://schemas.openxmlformats.org/markup-compatibility/2006" xmlns:a14="http://schemas.microsoft.com/office/drawing/2010/main">
      <mc:Choice Requires="a14">
        <xdr:graphicFrame macro="">
          <xdr:nvGraphicFramePr>
            <xdr:cNvPr id="11" name="Region 3">
              <a:extLst>
                <a:ext uri="{FF2B5EF4-FFF2-40B4-BE49-F238E27FC236}">
                  <a16:creationId xmlns:a16="http://schemas.microsoft.com/office/drawing/2014/main" id="{718C1DD5-0758-4BEF-BF52-107059A6951F}"/>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8328660" y="289560"/>
              <a:ext cx="5356860" cy="662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228600</xdr:colOff>
      <xdr:row>6</xdr:row>
      <xdr:rowOff>121920</xdr:rowOff>
    </xdr:from>
    <xdr:to>
      <xdr:col>22</xdr:col>
      <xdr:colOff>525780</xdr:colOff>
      <xdr:row>8</xdr:row>
      <xdr:rowOff>152400</xdr:rowOff>
    </xdr:to>
    <mc:AlternateContent xmlns:mc="http://schemas.openxmlformats.org/markup-compatibility/2006" xmlns:a14="http://schemas.microsoft.com/office/drawing/2010/main">
      <mc:Choice Requires="a14">
        <xdr:graphicFrame macro="">
          <xdr:nvGraphicFramePr>
            <xdr:cNvPr id="12" name="Product 3">
              <a:extLst>
                <a:ext uri="{FF2B5EF4-FFF2-40B4-BE49-F238E27FC236}">
                  <a16:creationId xmlns:a16="http://schemas.microsoft.com/office/drawing/2014/main" id="{0BA16AD1-F599-42AB-BB4B-5B94868339D1}"/>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mlns="">
        <xdr:sp macro="" textlink="">
          <xdr:nvSpPr>
            <xdr:cNvPr id="0" name=""/>
            <xdr:cNvSpPr>
              <a:spLocks noTextEdit="1"/>
            </xdr:cNvSpPr>
          </xdr:nvSpPr>
          <xdr:spPr>
            <a:xfrm>
              <a:off x="2057400" y="1219200"/>
              <a:ext cx="11879580" cy="396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228600</xdr:colOff>
      <xdr:row>9</xdr:row>
      <xdr:rowOff>152400</xdr:rowOff>
    </xdr:from>
    <xdr:to>
      <xdr:col>4</xdr:col>
      <xdr:colOff>312420</xdr:colOff>
      <xdr:row>12</xdr:row>
      <xdr:rowOff>68580</xdr:rowOff>
    </xdr:to>
    <xdr:pic>
      <xdr:nvPicPr>
        <xdr:cNvPr id="13" name="Graphic 12" descr="Bar graph with upward trend">
          <a:extLst>
            <a:ext uri="{FF2B5EF4-FFF2-40B4-BE49-F238E27FC236}">
              <a16:creationId xmlns:a16="http://schemas.microsoft.com/office/drawing/2014/main" id="{69C17CD7-2F72-4F53-A1C4-BC5FADD91D7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57400" y="1798320"/>
          <a:ext cx="693420" cy="464820"/>
        </a:xfrm>
        <a:prstGeom prst="rect">
          <a:avLst/>
        </a:prstGeom>
      </xdr:spPr>
    </xdr:pic>
    <xdr:clientData/>
  </xdr:twoCellAnchor>
  <xdr:twoCellAnchor>
    <xdr:from>
      <xdr:col>4</xdr:col>
      <xdr:colOff>342900</xdr:colOff>
      <xdr:row>9</xdr:row>
      <xdr:rowOff>167640</xdr:rowOff>
    </xdr:from>
    <xdr:to>
      <xdr:col>7</xdr:col>
      <xdr:colOff>121920</xdr:colOff>
      <xdr:row>12</xdr:row>
      <xdr:rowOff>30480</xdr:rowOff>
    </xdr:to>
    <xdr:sp macro="" textlink="">
      <xdr:nvSpPr>
        <xdr:cNvPr id="14" name="Text Box 1">
          <a:extLst>
            <a:ext uri="{FF2B5EF4-FFF2-40B4-BE49-F238E27FC236}">
              <a16:creationId xmlns:a16="http://schemas.microsoft.com/office/drawing/2014/main" id="{86505871-DDE7-4571-BFA3-88FF688B92BC}"/>
            </a:ext>
          </a:extLst>
        </xdr:cNvPr>
        <xdr:cNvSpPr txBox="1">
          <a:spLocks noChangeArrowheads="1"/>
        </xdr:cNvSpPr>
      </xdr:nvSpPr>
      <xdr:spPr bwMode="auto">
        <a:xfrm>
          <a:off x="2781300" y="1813560"/>
          <a:ext cx="1607820" cy="411480"/>
        </a:xfrm>
        <a:prstGeom prst="rect">
          <a:avLst/>
        </a:prstGeom>
        <a:solidFill>
          <a:srgbClr val="FFFFFF"/>
        </a:solidFill>
        <a:ln w="9525">
          <a:solidFill>
            <a:srgbClr val="000000"/>
          </a:solidFill>
          <a:miter lim="800000"/>
          <a:headEnd/>
          <a:tailEnd/>
        </a:ln>
      </xdr:spPr>
      <xdr:txBody>
        <a:bodyPr vertOverflow="clip" wrap="square" lIns="36576" tIns="32004" rIns="0" bIns="0" anchor="ctr" upright="1"/>
        <a:lstStyle/>
        <a:p>
          <a:pPr algn="ctr" rtl="0">
            <a:defRPr sz="1000"/>
          </a:pPr>
          <a:r>
            <a:rPr lang="en-IN" sz="2400" b="1" i="0" u="none" strike="noStrike" baseline="0">
              <a:solidFill>
                <a:srgbClr val="002060"/>
              </a:solidFill>
              <a:latin typeface="Calibri"/>
              <a:ea typeface="Calibri"/>
              <a:cs typeface="Calibri"/>
            </a:rPr>
            <a:t>Analaytics</a:t>
          </a:r>
        </a:p>
      </xdr:txBody>
    </xdr:sp>
    <xdr:clientData/>
  </xdr:twoCellAnchor>
  <xdr:twoCellAnchor>
    <xdr:from>
      <xdr:col>3</xdr:col>
      <xdr:colOff>403860</xdr:colOff>
      <xdr:row>12</xdr:row>
      <xdr:rowOff>121920</xdr:rowOff>
    </xdr:from>
    <xdr:to>
      <xdr:col>12</xdr:col>
      <xdr:colOff>335280</xdr:colOff>
      <xdr:row>27</xdr:row>
      <xdr:rowOff>38100</xdr:rowOff>
    </xdr:to>
    <xdr:graphicFrame macro="">
      <xdr:nvGraphicFramePr>
        <xdr:cNvPr id="18" name="Chart 17">
          <a:extLst>
            <a:ext uri="{FF2B5EF4-FFF2-40B4-BE49-F238E27FC236}">
              <a16:creationId xmlns:a16="http://schemas.microsoft.com/office/drawing/2014/main" id="{1A122065-6591-4927-9B98-0EA1C9D262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548640</xdr:colOff>
      <xdr:row>9</xdr:row>
      <xdr:rowOff>137160</xdr:rowOff>
    </xdr:from>
    <xdr:to>
      <xdr:col>22</xdr:col>
      <xdr:colOff>571500</xdr:colOff>
      <xdr:row>18</xdr:row>
      <xdr:rowOff>114300</xdr:rowOff>
    </xdr:to>
    <xdr:graphicFrame macro="">
      <xdr:nvGraphicFramePr>
        <xdr:cNvPr id="19" name="Chart 18">
          <a:extLst>
            <a:ext uri="{FF2B5EF4-FFF2-40B4-BE49-F238E27FC236}">
              <a16:creationId xmlns:a16="http://schemas.microsoft.com/office/drawing/2014/main" id="{6CBB42C8-D7DB-41D8-9E12-D7C67B26FD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518160</xdr:colOff>
      <xdr:row>19</xdr:row>
      <xdr:rowOff>15240</xdr:rowOff>
    </xdr:from>
    <xdr:to>
      <xdr:col>22</xdr:col>
      <xdr:colOff>487680</xdr:colOff>
      <xdr:row>27</xdr:row>
      <xdr:rowOff>114300</xdr:rowOff>
    </xdr:to>
    <xdr:graphicFrame macro="">
      <xdr:nvGraphicFramePr>
        <xdr:cNvPr id="20" name="Chart 19">
          <a:extLst>
            <a:ext uri="{FF2B5EF4-FFF2-40B4-BE49-F238E27FC236}">
              <a16:creationId xmlns:a16="http://schemas.microsoft.com/office/drawing/2014/main" id="{ACA87EB7-9231-458C-A4DF-D701258AE5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t" refreshedDate="46112.663750810185" createdVersion="8" refreshedVersion="8" minRefreshableVersion="3" recordCount="500" xr:uid="{6D45C7B4-291C-4DC7-82D8-22C7114165DB}">
  <cacheSource type="worksheet">
    <worksheetSource ref="A1:K501" sheet="sales dataset"/>
  </cacheSource>
  <cacheFields count="12">
    <cacheField name="Order_ID" numFmtId="0">
      <sharedItems containsSemiMixedTypes="0" containsString="0" containsNumber="1" containsInteger="1" minValue="1001" maxValue="1500"/>
    </cacheField>
    <cacheField name="Order_Date" numFmtId="14">
      <sharedItems containsSemiMixedTypes="0" containsNonDate="0" containsDate="1" containsString="0" minDate="2024-01-01T00:00:00" maxDate="2024-06-30T00:00:00" count="166">
        <d v="2024-04-18T00:00:00"/>
        <d v="2024-01-18T00:00:00"/>
        <d v="2024-01-28T00:00:00"/>
        <d v="2024-03-08T00:00:00"/>
        <d v="2024-03-16T00:00:00"/>
        <d v="2024-06-01T00:00:00"/>
        <d v="2024-06-02T00:00:00"/>
        <d v="2024-05-01T00:00:00"/>
        <d v="2024-01-08T00:00:00"/>
        <d v="2024-02-24T00:00:00"/>
        <d v="2024-06-17T00:00:00"/>
        <d v="2024-04-13T00:00:00"/>
        <d v="2024-04-11T00:00:00"/>
        <d v="2024-02-16T00:00:00"/>
        <d v="2024-03-21T00:00:00"/>
        <d v="2024-03-26T00:00:00"/>
        <d v="2024-03-28T00:00:00"/>
        <d v="2024-06-10T00:00:00"/>
        <d v="2024-05-16T00:00:00"/>
        <d v="2024-02-15T00:00:00"/>
        <d v="2024-05-17T00:00:00"/>
        <d v="2024-03-22T00:00:00"/>
        <d v="2024-06-15T00:00:00"/>
        <d v="2024-06-08T00:00:00"/>
        <d v="2024-05-10T00:00:00"/>
        <d v="2024-03-04T00:00:00"/>
        <d v="2024-01-06T00:00:00"/>
        <d v="2024-05-11T00:00:00"/>
        <d v="2024-02-23T00:00:00"/>
        <d v="2024-06-23T00:00:00"/>
        <d v="2024-05-06T00:00:00"/>
        <d v="2024-03-10T00:00:00"/>
        <d v="2024-04-20T00:00:00"/>
        <d v="2024-05-30T00:00:00"/>
        <d v="2024-03-14T00:00:00"/>
        <d v="2024-02-29T00:00:00"/>
        <d v="2024-04-26T00:00:00"/>
        <d v="2024-05-22T00:00:00"/>
        <d v="2024-02-27T00:00:00"/>
        <d v="2024-04-06T00:00:00"/>
        <d v="2024-01-15T00:00:00"/>
        <d v="2024-05-04T00:00:00"/>
        <d v="2024-05-08T00:00:00"/>
        <d v="2024-02-18T00:00:00"/>
        <d v="2024-02-04T00:00:00"/>
        <d v="2024-05-25T00:00:00"/>
        <d v="2024-05-13T00:00:00"/>
        <d v="2024-03-25T00:00:00"/>
        <d v="2024-04-05T00:00:00"/>
        <d v="2024-06-25T00:00:00"/>
        <d v="2024-02-26T00:00:00"/>
        <d v="2024-03-05T00:00:00"/>
        <d v="2024-03-01T00:00:00"/>
        <d v="2024-01-09T00:00:00"/>
        <d v="2024-03-29T00:00:00"/>
        <d v="2024-03-11T00:00:00"/>
        <d v="2024-03-18T00:00:00"/>
        <d v="2024-01-11T00:00:00"/>
        <d v="2024-02-08T00:00:00"/>
        <d v="2024-03-24T00:00:00"/>
        <d v="2024-01-24T00:00:00"/>
        <d v="2024-02-12T00:00:00"/>
        <d v="2024-02-13T00:00:00"/>
        <d v="2024-06-04T00:00:00"/>
        <d v="2024-02-19T00:00:00"/>
        <d v="2024-01-26T00:00:00"/>
        <d v="2024-04-25T00:00:00"/>
        <d v="2024-05-18T00:00:00"/>
        <d v="2024-03-13T00:00:00"/>
        <d v="2024-02-02T00:00:00"/>
        <d v="2024-01-10T00:00:00"/>
        <d v="2024-04-07T00:00:00"/>
        <d v="2024-02-07T00:00:00"/>
        <d v="2024-02-01T00:00:00"/>
        <d v="2024-06-14T00:00:00"/>
        <d v="2024-02-28T00:00:00"/>
        <d v="2024-04-12T00:00:00"/>
        <d v="2024-02-17T00:00:00"/>
        <d v="2024-04-16T00:00:00"/>
        <d v="2024-01-31T00:00:00"/>
        <d v="2024-05-07T00:00:00"/>
        <d v="2024-03-17T00:00:00"/>
        <d v="2024-01-12T00:00:00"/>
        <d v="2024-05-29T00:00:00"/>
        <d v="2024-04-30T00:00:00"/>
        <d v="2024-06-28T00:00:00"/>
        <d v="2024-05-28T00:00:00"/>
        <d v="2024-04-22T00:00:00"/>
        <d v="2024-06-27T00:00:00"/>
        <d v="2024-01-16T00:00:00"/>
        <d v="2024-01-04T00:00:00"/>
        <d v="2024-01-29T00:00:00"/>
        <d v="2024-03-19T00:00:00"/>
        <d v="2024-01-25T00:00:00"/>
        <d v="2024-05-27T00:00:00"/>
        <d v="2024-04-01T00:00:00"/>
        <d v="2024-01-30T00:00:00"/>
        <d v="2024-05-02T00:00:00"/>
        <d v="2024-03-27T00:00:00"/>
        <d v="2024-04-28T00:00:00"/>
        <d v="2024-05-19T00:00:00"/>
        <d v="2024-01-02T00:00:00"/>
        <d v="2024-02-06T00:00:00"/>
        <d v="2024-03-03T00:00:00"/>
        <d v="2024-02-21T00:00:00"/>
        <d v="2024-01-05T00:00:00"/>
        <d v="2024-04-10T00:00:00"/>
        <d v="2024-04-02T00:00:00"/>
        <d v="2024-04-03T00:00:00"/>
        <d v="2024-05-03T00:00:00"/>
        <d v="2024-03-31T00:00:00"/>
        <d v="2024-06-09T00:00:00"/>
        <d v="2024-02-05T00:00:00"/>
        <d v="2024-04-27T00:00:00"/>
        <d v="2024-03-12T00:00:00"/>
        <d v="2024-05-05T00:00:00"/>
        <d v="2024-04-21T00:00:00"/>
        <d v="2024-04-14T00:00:00"/>
        <d v="2024-04-19T00:00:00"/>
        <d v="2024-03-15T00:00:00"/>
        <d v="2024-06-24T00:00:00"/>
        <d v="2024-04-15T00:00:00"/>
        <d v="2024-04-17T00:00:00"/>
        <d v="2024-04-09T00:00:00"/>
        <d v="2024-04-24T00:00:00"/>
        <d v="2024-06-12T00:00:00"/>
        <d v="2024-02-14T00:00:00"/>
        <d v="2024-05-24T00:00:00"/>
        <d v="2024-06-13T00:00:00"/>
        <d v="2024-01-01T00:00:00"/>
        <d v="2024-06-16T00:00:00"/>
        <d v="2024-05-31T00:00:00"/>
        <d v="2024-03-30T00:00:00"/>
        <d v="2024-02-10T00:00:00"/>
        <d v="2024-02-25T00:00:00"/>
        <d v="2024-02-03T00:00:00"/>
        <d v="2024-06-26T00:00:00"/>
        <d v="2024-01-27T00:00:00"/>
        <d v="2024-01-22T00:00:00"/>
        <d v="2024-03-09T00:00:00"/>
        <d v="2024-05-23T00:00:00"/>
        <d v="2024-06-03T00:00:00"/>
        <d v="2024-01-21T00:00:00"/>
        <d v="2024-06-11T00:00:00"/>
        <d v="2024-06-21T00:00:00"/>
        <d v="2024-05-20T00:00:00"/>
        <d v="2024-01-20T00:00:00"/>
        <d v="2024-05-15T00:00:00"/>
        <d v="2024-02-11T00:00:00"/>
        <d v="2024-06-18T00:00:00"/>
        <d v="2024-05-26T00:00:00"/>
        <d v="2024-06-20T00:00:00"/>
        <d v="2024-05-09T00:00:00"/>
        <d v="2024-06-29T00:00:00"/>
        <d v="2024-01-03T00:00:00"/>
        <d v="2024-06-06T00:00:00"/>
        <d v="2024-02-22T00:00:00"/>
        <d v="2024-05-21T00:00:00"/>
        <d v="2024-05-12T00:00:00"/>
        <d v="2024-04-23T00:00:00"/>
        <d v="2024-01-13T00:00:00"/>
        <d v="2024-01-07T00:00:00"/>
        <d v="2024-06-07T00:00:00"/>
        <d v="2024-02-20T00:00:00"/>
        <d v="2024-04-08T00:00:00"/>
        <d v="2024-03-20T00:00:00"/>
      </sharedItems>
      <fieldGroup par="11"/>
    </cacheField>
    <cacheField name="Region" numFmtId="0">
      <sharedItems count="4">
        <s v="North"/>
        <s v="West"/>
        <s v="South"/>
        <s v="East"/>
      </sharedItems>
    </cacheField>
    <cacheField name="Sales_Rep" numFmtId="0">
      <sharedItems count="6">
        <s v="Rahul"/>
        <s v="Priya"/>
        <s v="Neha"/>
        <s v="Sneha"/>
        <s v="Arjun"/>
        <s v="Amit"/>
      </sharedItems>
    </cacheField>
    <cacheField name="Product" numFmtId="0">
      <sharedItems count="11">
        <s v="Keyboard"/>
        <s v="Printer"/>
        <s v="Laptop"/>
        <s v="Mouse"/>
        <s v="Monitor"/>
        <s v="Phone"/>
        <s v="Table"/>
        <s v="Desk"/>
        <s v="Headphones"/>
        <s v="Sofa"/>
        <s v="Chair"/>
      </sharedItems>
    </cacheField>
    <cacheField name="Category" numFmtId="0">
      <sharedItems/>
    </cacheField>
    <cacheField name="Quantity" numFmtId="0">
      <sharedItems containsSemiMixedTypes="0" containsString="0" containsNumber="1" containsInteger="1" minValue="1" maxValue="6"/>
    </cacheField>
    <cacheField name="Unit_Cost" numFmtId="0">
      <sharedItems containsSemiMixedTypes="0" containsString="0" containsNumber="1" containsInteger="1" minValue="300" maxValue="40000"/>
    </cacheField>
    <cacheField name="Unit_Price" numFmtId="0">
      <sharedItems containsSemiMixedTypes="0" containsString="0" containsNumber="1" containsInteger="1" minValue="600" maxValue="45000"/>
    </cacheField>
    <cacheField name="Discount" numFmtId="0">
      <sharedItems containsSemiMixedTypes="0" containsString="0" containsNumber="1" containsInteger="1" minValue="3" maxValue="1999"/>
    </cacheField>
    <cacheField name="Sales_Amount" numFmtId="0">
      <sharedItems containsSemiMixedTypes="0" containsString="0" containsNumber="1" containsInteger="1" minValue="-1113" maxValue="269890"/>
    </cacheField>
    <cacheField name="Months (Order_Date)" numFmtId="0" databaseField="0">
      <fieldGroup base="1">
        <rangePr autoEnd="0" groupBy="months" startDate="2024-01-01T00:00:00" endDate="2024-06-30T00:00:00"/>
        <groupItems count="14">
          <s v="&lt;01-01-2024"/>
          <s v="Jan"/>
          <s v="Feb"/>
          <s v="Mar"/>
          <s v="Apr"/>
          <s v="May"/>
          <s v="Jun"/>
          <s v="Jul"/>
          <s v="Aug"/>
          <s v="Sep"/>
          <s v="Oct"/>
          <s v="Nov"/>
          <s v="Dec"/>
          <s v="&gt;30-06-2024"/>
        </groupItems>
      </fieldGroup>
    </cacheField>
  </cacheFields>
  <extLst>
    <ext xmlns:x14="http://schemas.microsoft.com/office/spreadsheetml/2009/9/main" uri="{725AE2AE-9491-48be-B2B4-4EB974FC3084}">
      <x14:pivotCacheDefinition pivotCacheId="16820377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001"/>
    <x v="0"/>
    <x v="0"/>
    <x v="0"/>
    <x v="0"/>
    <s v="Electronics"/>
    <n v="2"/>
    <n v="500"/>
    <n v="800"/>
    <n v="605"/>
    <n v="995"/>
  </r>
  <r>
    <n v="1002"/>
    <x v="1"/>
    <x v="1"/>
    <x v="1"/>
    <x v="1"/>
    <s v="Electronics"/>
    <n v="3"/>
    <n v="8000"/>
    <n v="9500"/>
    <n v="731"/>
    <n v="27769"/>
  </r>
  <r>
    <n v="1003"/>
    <x v="2"/>
    <x v="2"/>
    <x v="1"/>
    <x v="2"/>
    <s v="Electronics"/>
    <n v="1"/>
    <n v="40000"/>
    <n v="45000"/>
    <n v="450"/>
    <n v="44550"/>
  </r>
  <r>
    <n v="1004"/>
    <x v="3"/>
    <x v="3"/>
    <x v="2"/>
    <x v="3"/>
    <s v="Electronics"/>
    <n v="5"/>
    <n v="300"/>
    <n v="600"/>
    <n v="782"/>
    <n v="2218"/>
  </r>
  <r>
    <n v="1005"/>
    <x v="4"/>
    <x v="1"/>
    <x v="1"/>
    <x v="2"/>
    <s v="Electronics"/>
    <n v="6"/>
    <n v="40000"/>
    <n v="45000"/>
    <n v="1917"/>
    <n v="268083"/>
  </r>
  <r>
    <n v="1006"/>
    <x v="5"/>
    <x v="0"/>
    <x v="2"/>
    <x v="0"/>
    <s v="Electronics"/>
    <n v="3"/>
    <n v="500"/>
    <n v="800"/>
    <n v="1108"/>
    <n v="1292"/>
  </r>
  <r>
    <n v="1007"/>
    <x v="6"/>
    <x v="0"/>
    <x v="3"/>
    <x v="4"/>
    <s v="Electronics"/>
    <n v="6"/>
    <n v="7000"/>
    <n v="9000"/>
    <n v="1217"/>
    <n v="52783"/>
  </r>
  <r>
    <n v="1008"/>
    <x v="7"/>
    <x v="1"/>
    <x v="1"/>
    <x v="5"/>
    <s v="Electronics"/>
    <n v="3"/>
    <n v="15000"/>
    <n v="18000"/>
    <n v="527"/>
    <n v="53473"/>
  </r>
  <r>
    <n v="1009"/>
    <x v="8"/>
    <x v="2"/>
    <x v="3"/>
    <x v="6"/>
    <s v="Furniture"/>
    <n v="3"/>
    <n v="5000"/>
    <n v="6500"/>
    <n v="1390"/>
    <n v="18110"/>
  </r>
  <r>
    <n v="1010"/>
    <x v="9"/>
    <x v="1"/>
    <x v="3"/>
    <x v="3"/>
    <s v="Electronics"/>
    <n v="3"/>
    <n v="300"/>
    <n v="600"/>
    <n v="1965"/>
    <n v="-165"/>
  </r>
  <r>
    <n v="1011"/>
    <x v="10"/>
    <x v="2"/>
    <x v="4"/>
    <x v="7"/>
    <s v="Furniture"/>
    <n v="1"/>
    <n v="4000"/>
    <n v="5500"/>
    <n v="739"/>
    <n v="4761"/>
  </r>
  <r>
    <n v="1012"/>
    <x v="11"/>
    <x v="1"/>
    <x v="4"/>
    <x v="0"/>
    <s v="Electronics"/>
    <n v="2"/>
    <n v="500"/>
    <n v="800"/>
    <n v="325"/>
    <n v="1275"/>
  </r>
  <r>
    <n v="1013"/>
    <x v="12"/>
    <x v="3"/>
    <x v="5"/>
    <x v="2"/>
    <s v="Electronics"/>
    <n v="3"/>
    <n v="40000"/>
    <n v="45000"/>
    <n v="633"/>
    <n v="134367"/>
  </r>
  <r>
    <n v="1014"/>
    <x v="13"/>
    <x v="2"/>
    <x v="2"/>
    <x v="1"/>
    <s v="Electronics"/>
    <n v="4"/>
    <n v="8000"/>
    <n v="9500"/>
    <n v="1468"/>
    <n v="36532"/>
  </r>
  <r>
    <n v="1015"/>
    <x v="14"/>
    <x v="0"/>
    <x v="0"/>
    <x v="6"/>
    <s v="Furniture"/>
    <n v="4"/>
    <n v="5000"/>
    <n v="6500"/>
    <n v="1555"/>
    <n v="24445"/>
  </r>
  <r>
    <n v="1016"/>
    <x v="15"/>
    <x v="1"/>
    <x v="4"/>
    <x v="8"/>
    <s v="Electronics"/>
    <n v="3"/>
    <n v="1000"/>
    <n v="1500"/>
    <n v="193"/>
    <n v="4307"/>
  </r>
  <r>
    <n v="1017"/>
    <x v="16"/>
    <x v="0"/>
    <x v="5"/>
    <x v="0"/>
    <s v="Electronics"/>
    <n v="2"/>
    <n v="500"/>
    <n v="800"/>
    <n v="816"/>
    <n v="784"/>
  </r>
  <r>
    <n v="1018"/>
    <x v="17"/>
    <x v="3"/>
    <x v="5"/>
    <x v="2"/>
    <s v="Electronics"/>
    <n v="1"/>
    <n v="40000"/>
    <n v="45000"/>
    <n v="947"/>
    <n v="44053"/>
  </r>
  <r>
    <n v="1019"/>
    <x v="15"/>
    <x v="3"/>
    <x v="4"/>
    <x v="4"/>
    <s v="Electronics"/>
    <n v="2"/>
    <n v="7000"/>
    <n v="9000"/>
    <n v="993"/>
    <n v="17007"/>
  </r>
  <r>
    <n v="1020"/>
    <x v="18"/>
    <x v="1"/>
    <x v="5"/>
    <x v="3"/>
    <s v="Electronics"/>
    <n v="5"/>
    <n v="300"/>
    <n v="600"/>
    <n v="139"/>
    <n v="2861"/>
  </r>
  <r>
    <n v="1021"/>
    <x v="19"/>
    <x v="2"/>
    <x v="5"/>
    <x v="5"/>
    <s v="Electronics"/>
    <n v="3"/>
    <n v="15000"/>
    <n v="18000"/>
    <n v="1323"/>
    <n v="52677"/>
  </r>
  <r>
    <n v="1022"/>
    <x v="20"/>
    <x v="2"/>
    <x v="5"/>
    <x v="6"/>
    <s v="Furniture"/>
    <n v="1"/>
    <n v="5000"/>
    <n v="6500"/>
    <n v="502"/>
    <n v="5998"/>
  </r>
  <r>
    <n v="1023"/>
    <x v="21"/>
    <x v="2"/>
    <x v="5"/>
    <x v="3"/>
    <s v="Electronics"/>
    <n v="6"/>
    <n v="300"/>
    <n v="600"/>
    <n v="1576"/>
    <n v="2024"/>
  </r>
  <r>
    <n v="1024"/>
    <x v="22"/>
    <x v="2"/>
    <x v="5"/>
    <x v="7"/>
    <s v="Furniture"/>
    <n v="6"/>
    <n v="4000"/>
    <n v="5500"/>
    <n v="684"/>
    <n v="32316"/>
  </r>
  <r>
    <n v="1025"/>
    <x v="23"/>
    <x v="2"/>
    <x v="3"/>
    <x v="8"/>
    <s v="Electronics"/>
    <n v="1"/>
    <n v="1000"/>
    <n v="1500"/>
    <n v="75"/>
    <n v="1425"/>
  </r>
  <r>
    <n v="1026"/>
    <x v="6"/>
    <x v="0"/>
    <x v="4"/>
    <x v="5"/>
    <s v="Electronics"/>
    <n v="5"/>
    <n v="15000"/>
    <n v="18000"/>
    <n v="1807"/>
    <n v="88193"/>
  </r>
  <r>
    <n v="1027"/>
    <x v="24"/>
    <x v="1"/>
    <x v="3"/>
    <x v="8"/>
    <s v="Electronics"/>
    <n v="2"/>
    <n v="1000"/>
    <n v="1500"/>
    <n v="4"/>
    <n v="2996"/>
  </r>
  <r>
    <n v="1028"/>
    <x v="9"/>
    <x v="3"/>
    <x v="1"/>
    <x v="6"/>
    <s v="Furniture"/>
    <n v="2"/>
    <n v="5000"/>
    <n v="6500"/>
    <n v="1666"/>
    <n v="11334"/>
  </r>
  <r>
    <n v="1029"/>
    <x v="25"/>
    <x v="0"/>
    <x v="3"/>
    <x v="6"/>
    <s v="Furniture"/>
    <n v="2"/>
    <n v="5000"/>
    <n v="6500"/>
    <n v="576"/>
    <n v="12424"/>
  </r>
  <r>
    <n v="1030"/>
    <x v="26"/>
    <x v="3"/>
    <x v="2"/>
    <x v="3"/>
    <s v="Electronics"/>
    <n v="1"/>
    <n v="300"/>
    <n v="600"/>
    <n v="1551"/>
    <n v="-951"/>
  </r>
  <r>
    <n v="1031"/>
    <x v="27"/>
    <x v="3"/>
    <x v="1"/>
    <x v="5"/>
    <s v="Electronics"/>
    <n v="3"/>
    <n v="15000"/>
    <n v="18000"/>
    <n v="980"/>
    <n v="53020"/>
  </r>
  <r>
    <n v="1032"/>
    <x v="28"/>
    <x v="1"/>
    <x v="4"/>
    <x v="4"/>
    <s v="Electronics"/>
    <n v="4"/>
    <n v="7000"/>
    <n v="9000"/>
    <n v="426"/>
    <n v="35574"/>
  </r>
  <r>
    <n v="1033"/>
    <x v="29"/>
    <x v="3"/>
    <x v="4"/>
    <x v="5"/>
    <s v="Electronics"/>
    <n v="2"/>
    <n v="15000"/>
    <n v="18000"/>
    <n v="1447"/>
    <n v="34553"/>
  </r>
  <r>
    <n v="1034"/>
    <x v="30"/>
    <x v="3"/>
    <x v="3"/>
    <x v="2"/>
    <s v="Electronics"/>
    <n v="2"/>
    <n v="40000"/>
    <n v="45000"/>
    <n v="43"/>
    <n v="89957"/>
  </r>
  <r>
    <n v="1035"/>
    <x v="31"/>
    <x v="3"/>
    <x v="5"/>
    <x v="8"/>
    <s v="Electronics"/>
    <n v="2"/>
    <n v="1000"/>
    <n v="1500"/>
    <n v="1479"/>
    <n v="1521"/>
  </r>
  <r>
    <n v="1036"/>
    <x v="32"/>
    <x v="0"/>
    <x v="2"/>
    <x v="8"/>
    <s v="Electronics"/>
    <n v="2"/>
    <n v="1000"/>
    <n v="1500"/>
    <n v="1036"/>
    <n v="1964"/>
  </r>
  <r>
    <n v="1037"/>
    <x v="33"/>
    <x v="0"/>
    <x v="4"/>
    <x v="3"/>
    <s v="Electronics"/>
    <n v="4"/>
    <n v="300"/>
    <n v="600"/>
    <n v="482"/>
    <n v="1918"/>
  </r>
  <r>
    <n v="1038"/>
    <x v="34"/>
    <x v="0"/>
    <x v="4"/>
    <x v="8"/>
    <s v="Electronics"/>
    <n v="3"/>
    <n v="1000"/>
    <n v="1500"/>
    <n v="381"/>
    <n v="4119"/>
  </r>
  <r>
    <n v="1039"/>
    <x v="23"/>
    <x v="3"/>
    <x v="3"/>
    <x v="3"/>
    <s v="Electronics"/>
    <n v="1"/>
    <n v="300"/>
    <n v="600"/>
    <n v="1655"/>
    <n v="-1055"/>
  </r>
  <r>
    <n v="1040"/>
    <x v="35"/>
    <x v="2"/>
    <x v="2"/>
    <x v="7"/>
    <s v="Furniture"/>
    <n v="2"/>
    <n v="4000"/>
    <n v="5500"/>
    <n v="597"/>
    <n v="10403"/>
  </r>
  <r>
    <n v="1041"/>
    <x v="36"/>
    <x v="0"/>
    <x v="1"/>
    <x v="4"/>
    <s v="Electronics"/>
    <n v="2"/>
    <n v="7000"/>
    <n v="9000"/>
    <n v="1152"/>
    <n v="16848"/>
  </r>
  <r>
    <n v="1042"/>
    <x v="37"/>
    <x v="1"/>
    <x v="0"/>
    <x v="5"/>
    <s v="Electronics"/>
    <n v="5"/>
    <n v="15000"/>
    <n v="18000"/>
    <n v="308"/>
    <n v="89692"/>
  </r>
  <r>
    <n v="1043"/>
    <x v="38"/>
    <x v="1"/>
    <x v="3"/>
    <x v="2"/>
    <s v="Electronics"/>
    <n v="2"/>
    <n v="40000"/>
    <n v="45000"/>
    <n v="561"/>
    <n v="89439"/>
  </r>
  <r>
    <n v="1044"/>
    <x v="0"/>
    <x v="3"/>
    <x v="2"/>
    <x v="4"/>
    <s v="Electronics"/>
    <n v="4"/>
    <n v="7000"/>
    <n v="9000"/>
    <n v="1772"/>
    <n v="34228"/>
  </r>
  <r>
    <n v="1045"/>
    <x v="39"/>
    <x v="1"/>
    <x v="3"/>
    <x v="8"/>
    <s v="Electronics"/>
    <n v="5"/>
    <n v="1000"/>
    <n v="1500"/>
    <n v="1740"/>
    <n v="5760"/>
  </r>
  <r>
    <n v="1046"/>
    <x v="40"/>
    <x v="0"/>
    <x v="1"/>
    <x v="5"/>
    <s v="Electronics"/>
    <n v="3"/>
    <n v="15000"/>
    <n v="18000"/>
    <n v="429"/>
    <n v="53571"/>
  </r>
  <r>
    <n v="1047"/>
    <x v="41"/>
    <x v="3"/>
    <x v="2"/>
    <x v="2"/>
    <s v="Electronics"/>
    <n v="2"/>
    <n v="40000"/>
    <n v="45000"/>
    <n v="533"/>
    <n v="89467"/>
  </r>
  <r>
    <n v="1048"/>
    <x v="42"/>
    <x v="0"/>
    <x v="1"/>
    <x v="1"/>
    <s v="Electronics"/>
    <n v="6"/>
    <n v="8000"/>
    <n v="9500"/>
    <n v="117"/>
    <n v="56883"/>
  </r>
  <r>
    <n v="1049"/>
    <x v="43"/>
    <x v="0"/>
    <x v="1"/>
    <x v="2"/>
    <s v="Electronics"/>
    <n v="6"/>
    <n v="40000"/>
    <n v="45000"/>
    <n v="1921"/>
    <n v="268079"/>
  </r>
  <r>
    <n v="1050"/>
    <x v="44"/>
    <x v="1"/>
    <x v="4"/>
    <x v="3"/>
    <s v="Electronics"/>
    <n v="5"/>
    <n v="300"/>
    <n v="600"/>
    <n v="1430"/>
    <n v="1570"/>
  </r>
  <r>
    <n v="1051"/>
    <x v="45"/>
    <x v="3"/>
    <x v="2"/>
    <x v="0"/>
    <s v="Electronics"/>
    <n v="2"/>
    <n v="500"/>
    <n v="800"/>
    <n v="1387"/>
    <n v="213"/>
  </r>
  <r>
    <n v="1052"/>
    <x v="46"/>
    <x v="2"/>
    <x v="2"/>
    <x v="6"/>
    <s v="Furniture"/>
    <n v="6"/>
    <n v="5000"/>
    <n v="6500"/>
    <n v="356"/>
    <n v="38644"/>
  </r>
  <r>
    <n v="1053"/>
    <x v="47"/>
    <x v="1"/>
    <x v="0"/>
    <x v="5"/>
    <s v="Electronics"/>
    <n v="3"/>
    <n v="15000"/>
    <n v="18000"/>
    <n v="1313"/>
    <n v="52687"/>
  </r>
  <r>
    <n v="1054"/>
    <x v="48"/>
    <x v="2"/>
    <x v="2"/>
    <x v="2"/>
    <s v="Electronics"/>
    <n v="6"/>
    <n v="40000"/>
    <n v="45000"/>
    <n v="1186"/>
    <n v="268814"/>
  </r>
  <r>
    <n v="1055"/>
    <x v="49"/>
    <x v="2"/>
    <x v="0"/>
    <x v="8"/>
    <s v="Electronics"/>
    <n v="2"/>
    <n v="1000"/>
    <n v="1500"/>
    <n v="1304"/>
    <n v="1696"/>
  </r>
  <r>
    <n v="1056"/>
    <x v="50"/>
    <x v="1"/>
    <x v="1"/>
    <x v="4"/>
    <s v="Electronics"/>
    <n v="2"/>
    <n v="7000"/>
    <n v="9000"/>
    <n v="389"/>
    <n v="17611"/>
  </r>
  <r>
    <n v="1057"/>
    <x v="51"/>
    <x v="0"/>
    <x v="2"/>
    <x v="7"/>
    <s v="Furniture"/>
    <n v="3"/>
    <n v="4000"/>
    <n v="5500"/>
    <n v="713"/>
    <n v="15787"/>
  </r>
  <r>
    <n v="1058"/>
    <x v="15"/>
    <x v="3"/>
    <x v="2"/>
    <x v="2"/>
    <s v="Electronics"/>
    <n v="2"/>
    <n v="40000"/>
    <n v="45000"/>
    <n v="1610"/>
    <n v="88390"/>
  </r>
  <r>
    <n v="1059"/>
    <x v="52"/>
    <x v="1"/>
    <x v="5"/>
    <x v="8"/>
    <s v="Electronics"/>
    <n v="4"/>
    <n v="1000"/>
    <n v="1500"/>
    <n v="1792"/>
    <n v="4208"/>
  </r>
  <r>
    <n v="1060"/>
    <x v="53"/>
    <x v="2"/>
    <x v="3"/>
    <x v="5"/>
    <s v="Electronics"/>
    <n v="1"/>
    <n v="15000"/>
    <n v="18000"/>
    <n v="1482"/>
    <n v="16518"/>
  </r>
  <r>
    <n v="1061"/>
    <x v="54"/>
    <x v="1"/>
    <x v="5"/>
    <x v="9"/>
    <s v="Furniture"/>
    <n v="4"/>
    <n v="20000"/>
    <n v="25000"/>
    <n v="1258"/>
    <n v="98742"/>
  </r>
  <r>
    <n v="1062"/>
    <x v="55"/>
    <x v="2"/>
    <x v="1"/>
    <x v="6"/>
    <s v="Furniture"/>
    <n v="6"/>
    <n v="5000"/>
    <n v="6500"/>
    <n v="1572"/>
    <n v="37428"/>
  </r>
  <r>
    <n v="1063"/>
    <x v="56"/>
    <x v="0"/>
    <x v="1"/>
    <x v="2"/>
    <s v="Electronics"/>
    <n v="6"/>
    <n v="40000"/>
    <n v="45000"/>
    <n v="1712"/>
    <n v="268288"/>
  </r>
  <r>
    <n v="1064"/>
    <x v="57"/>
    <x v="0"/>
    <x v="0"/>
    <x v="5"/>
    <s v="Electronics"/>
    <n v="4"/>
    <n v="15000"/>
    <n v="18000"/>
    <n v="1482"/>
    <n v="70518"/>
  </r>
  <r>
    <n v="1065"/>
    <x v="58"/>
    <x v="0"/>
    <x v="3"/>
    <x v="6"/>
    <s v="Furniture"/>
    <n v="3"/>
    <n v="5000"/>
    <n v="6500"/>
    <n v="660"/>
    <n v="18840"/>
  </r>
  <r>
    <n v="1066"/>
    <x v="29"/>
    <x v="0"/>
    <x v="3"/>
    <x v="6"/>
    <s v="Furniture"/>
    <n v="6"/>
    <n v="5000"/>
    <n v="6500"/>
    <n v="4"/>
    <n v="38996"/>
  </r>
  <r>
    <n v="1067"/>
    <x v="59"/>
    <x v="3"/>
    <x v="3"/>
    <x v="1"/>
    <s v="Electronics"/>
    <n v="1"/>
    <n v="8000"/>
    <n v="9500"/>
    <n v="626"/>
    <n v="8874"/>
  </r>
  <r>
    <n v="1068"/>
    <x v="60"/>
    <x v="1"/>
    <x v="1"/>
    <x v="5"/>
    <s v="Electronics"/>
    <n v="6"/>
    <n v="15000"/>
    <n v="18000"/>
    <n v="419"/>
    <n v="107581"/>
  </r>
  <r>
    <n v="1069"/>
    <x v="61"/>
    <x v="2"/>
    <x v="3"/>
    <x v="7"/>
    <s v="Furniture"/>
    <n v="2"/>
    <n v="4000"/>
    <n v="5500"/>
    <n v="930"/>
    <n v="10070"/>
  </r>
  <r>
    <n v="1070"/>
    <x v="62"/>
    <x v="2"/>
    <x v="0"/>
    <x v="4"/>
    <s v="Electronics"/>
    <n v="2"/>
    <n v="7000"/>
    <n v="9000"/>
    <n v="475"/>
    <n v="17525"/>
  </r>
  <r>
    <n v="1071"/>
    <x v="59"/>
    <x v="3"/>
    <x v="0"/>
    <x v="2"/>
    <s v="Electronics"/>
    <n v="2"/>
    <n v="40000"/>
    <n v="45000"/>
    <n v="946"/>
    <n v="89054"/>
  </r>
  <r>
    <n v="1072"/>
    <x v="63"/>
    <x v="3"/>
    <x v="3"/>
    <x v="6"/>
    <s v="Furniture"/>
    <n v="3"/>
    <n v="5000"/>
    <n v="6500"/>
    <n v="299"/>
    <n v="19201"/>
  </r>
  <r>
    <n v="1073"/>
    <x v="60"/>
    <x v="2"/>
    <x v="5"/>
    <x v="9"/>
    <s v="Furniture"/>
    <n v="6"/>
    <n v="20000"/>
    <n v="25000"/>
    <n v="605"/>
    <n v="149395"/>
  </r>
  <r>
    <n v="1074"/>
    <x v="64"/>
    <x v="3"/>
    <x v="1"/>
    <x v="2"/>
    <s v="Electronics"/>
    <n v="6"/>
    <n v="40000"/>
    <n v="45000"/>
    <n v="1736"/>
    <n v="268264"/>
  </r>
  <r>
    <n v="1075"/>
    <x v="65"/>
    <x v="2"/>
    <x v="5"/>
    <x v="0"/>
    <s v="Electronics"/>
    <n v="1"/>
    <n v="500"/>
    <n v="800"/>
    <n v="1070"/>
    <n v="-270"/>
  </r>
  <r>
    <n v="1076"/>
    <x v="66"/>
    <x v="0"/>
    <x v="5"/>
    <x v="2"/>
    <s v="Electronics"/>
    <n v="2"/>
    <n v="40000"/>
    <n v="45000"/>
    <n v="1951"/>
    <n v="88049"/>
  </r>
  <r>
    <n v="1077"/>
    <x v="67"/>
    <x v="3"/>
    <x v="5"/>
    <x v="7"/>
    <s v="Furniture"/>
    <n v="6"/>
    <n v="4000"/>
    <n v="5500"/>
    <n v="1599"/>
    <n v="31401"/>
  </r>
  <r>
    <n v="1078"/>
    <x v="68"/>
    <x v="3"/>
    <x v="3"/>
    <x v="0"/>
    <s v="Electronics"/>
    <n v="4"/>
    <n v="500"/>
    <n v="800"/>
    <n v="708"/>
    <n v="2492"/>
  </r>
  <r>
    <n v="1079"/>
    <x v="58"/>
    <x v="3"/>
    <x v="0"/>
    <x v="6"/>
    <s v="Furniture"/>
    <n v="1"/>
    <n v="5000"/>
    <n v="6500"/>
    <n v="729"/>
    <n v="5771"/>
  </r>
  <r>
    <n v="1080"/>
    <x v="69"/>
    <x v="3"/>
    <x v="5"/>
    <x v="1"/>
    <s v="Electronics"/>
    <n v="1"/>
    <n v="8000"/>
    <n v="9500"/>
    <n v="1549"/>
    <n v="7951"/>
  </r>
  <r>
    <n v="1081"/>
    <x v="70"/>
    <x v="3"/>
    <x v="4"/>
    <x v="3"/>
    <s v="Electronics"/>
    <n v="5"/>
    <n v="300"/>
    <n v="600"/>
    <n v="973"/>
    <n v="2027"/>
  </r>
  <r>
    <n v="1082"/>
    <x v="2"/>
    <x v="1"/>
    <x v="3"/>
    <x v="10"/>
    <s v="Furniture"/>
    <n v="1"/>
    <n v="2000"/>
    <n v="2500"/>
    <n v="1049"/>
    <n v="1451"/>
  </r>
  <r>
    <n v="1083"/>
    <x v="45"/>
    <x v="1"/>
    <x v="0"/>
    <x v="5"/>
    <s v="Electronics"/>
    <n v="3"/>
    <n v="15000"/>
    <n v="18000"/>
    <n v="807"/>
    <n v="53193"/>
  </r>
  <r>
    <n v="1084"/>
    <x v="71"/>
    <x v="2"/>
    <x v="2"/>
    <x v="1"/>
    <s v="Electronics"/>
    <n v="3"/>
    <n v="8000"/>
    <n v="9500"/>
    <n v="202"/>
    <n v="28298"/>
  </r>
  <r>
    <n v="1085"/>
    <x v="10"/>
    <x v="0"/>
    <x v="0"/>
    <x v="9"/>
    <s v="Furniture"/>
    <n v="5"/>
    <n v="20000"/>
    <n v="25000"/>
    <n v="839"/>
    <n v="124161"/>
  </r>
  <r>
    <n v="1086"/>
    <x v="72"/>
    <x v="1"/>
    <x v="0"/>
    <x v="7"/>
    <s v="Furniture"/>
    <n v="4"/>
    <n v="4000"/>
    <n v="5500"/>
    <n v="613"/>
    <n v="21387"/>
  </r>
  <r>
    <n v="1087"/>
    <x v="46"/>
    <x v="0"/>
    <x v="4"/>
    <x v="6"/>
    <s v="Furniture"/>
    <n v="3"/>
    <n v="5000"/>
    <n v="6500"/>
    <n v="1047"/>
    <n v="18453"/>
  </r>
  <r>
    <n v="1088"/>
    <x v="9"/>
    <x v="3"/>
    <x v="0"/>
    <x v="8"/>
    <s v="Electronics"/>
    <n v="2"/>
    <n v="1000"/>
    <n v="1500"/>
    <n v="923"/>
    <n v="2077"/>
  </r>
  <r>
    <n v="1089"/>
    <x v="72"/>
    <x v="1"/>
    <x v="0"/>
    <x v="4"/>
    <s v="Electronics"/>
    <n v="5"/>
    <n v="7000"/>
    <n v="9000"/>
    <n v="1186"/>
    <n v="43814"/>
  </r>
  <r>
    <n v="1090"/>
    <x v="54"/>
    <x v="1"/>
    <x v="5"/>
    <x v="10"/>
    <s v="Furniture"/>
    <n v="6"/>
    <n v="2000"/>
    <n v="2500"/>
    <n v="1671"/>
    <n v="13329"/>
  </r>
  <r>
    <n v="1091"/>
    <x v="2"/>
    <x v="2"/>
    <x v="2"/>
    <x v="4"/>
    <s v="Electronics"/>
    <n v="1"/>
    <n v="7000"/>
    <n v="9000"/>
    <n v="659"/>
    <n v="8341"/>
  </r>
  <r>
    <n v="1092"/>
    <x v="57"/>
    <x v="3"/>
    <x v="1"/>
    <x v="7"/>
    <s v="Furniture"/>
    <n v="4"/>
    <n v="4000"/>
    <n v="5500"/>
    <n v="386"/>
    <n v="21614"/>
  </r>
  <r>
    <n v="1093"/>
    <x v="73"/>
    <x v="3"/>
    <x v="2"/>
    <x v="1"/>
    <s v="Electronics"/>
    <n v="2"/>
    <n v="8000"/>
    <n v="9500"/>
    <n v="1509"/>
    <n v="17491"/>
  </r>
  <r>
    <n v="1094"/>
    <x v="74"/>
    <x v="0"/>
    <x v="5"/>
    <x v="2"/>
    <s v="Electronics"/>
    <n v="4"/>
    <n v="40000"/>
    <n v="45000"/>
    <n v="1519"/>
    <n v="178481"/>
  </r>
  <r>
    <n v="1095"/>
    <x v="75"/>
    <x v="3"/>
    <x v="4"/>
    <x v="6"/>
    <s v="Furniture"/>
    <n v="6"/>
    <n v="5000"/>
    <n v="6500"/>
    <n v="106"/>
    <n v="38894"/>
  </r>
  <r>
    <n v="1096"/>
    <x v="76"/>
    <x v="1"/>
    <x v="0"/>
    <x v="1"/>
    <s v="Electronics"/>
    <n v="5"/>
    <n v="8000"/>
    <n v="9500"/>
    <n v="1332"/>
    <n v="46168"/>
  </r>
  <r>
    <n v="1097"/>
    <x v="77"/>
    <x v="0"/>
    <x v="1"/>
    <x v="2"/>
    <s v="Electronics"/>
    <n v="1"/>
    <n v="40000"/>
    <n v="45000"/>
    <n v="195"/>
    <n v="44805"/>
  </r>
  <r>
    <n v="1098"/>
    <x v="26"/>
    <x v="1"/>
    <x v="0"/>
    <x v="4"/>
    <s v="Electronics"/>
    <n v="1"/>
    <n v="7000"/>
    <n v="9000"/>
    <n v="1496"/>
    <n v="7504"/>
  </r>
  <r>
    <n v="1099"/>
    <x v="78"/>
    <x v="0"/>
    <x v="0"/>
    <x v="0"/>
    <s v="Electronics"/>
    <n v="4"/>
    <n v="500"/>
    <n v="800"/>
    <n v="1001"/>
    <n v="2199"/>
  </r>
  <r>
    <n v="1100"/>
    <x v="79"/>
    <x v="2"/>
    <x v="4"/>
    <x v="9"/>
    <s v="Furniture"/>
    <n v="4"/>
    <n v="20000"/>
    <n v="25000"/>
    <n v="173"/>
    <n v="99827"/>
  </r>
  <r>
    <n v="1101"/>
    <x v="53"/>
    <x v="3"/>
    <x v="3"/>
    <x v="9"/>
    <s v="Furniture"/>
    <n v="3"/>
    <n v="20000"/>
    <n v="25000"/>
    <n v="1482"/>
    <n v="73518"/>
  </r>
  <r>
    <n v="1102"/>
    <x v="80"/>
    <x v="2"/>
    <x v="4"/>
    <x v="0"/>
    <s v="Electronics"/>
    <n v="5"/>
    <n v="500"/>
    <n v="800"/>
    <n v="1209"/>
    <n v="2791"/>
  </r>
  <r>
    <n v="1103"/>
    <x v="81"/>
    <x v="3"/>
    <x v="0"/>
    <x v="6"/>
    <s v="Furniture"/>
    <n v="3"/>
    <n v="5000"/>
    <n v="6500"/>
    <n v="656"/>
    <n v="18844"/>
  </r>
  <r>
    <n v="1104"/>
    <x v="82"/>
    <x v="3"/>
    <x v="0"/>
    <x v="0"/>
    <s v="Electronics"/>
    <n v="1"/>
    <n v="500"/>
    <n v="800"/>
    <n v="1013"/>
    <n v="-213"/>
  </r>
  <r>
    <n v="1105"/>
    <x v="83"/>
    <x v="0"/>
    <x v="3"/>
    <x v="7"/>
    <s v="Furniture"/>
    <n v="5"/>
    <n v="4000"/>
    <n v="5500"/>
    <n v="1706"/>
    <n v="25794"/>
  </r>
  <r>
    <n v="1106"/>
    <x v="84"/>
    <x v="2"/>
    <x v="5"/>
    <x v="0"/>
    <s v="Electronics"/>
    <n v="4"/>
    <n v="500"/>
    <n v="800"/>
    <n v="1601"/>
    <n v="1599"/>
  </r>
  <r>
    <n v="1107"/>
    <x v="85"/>
    <x v="1"/>
    <x v="5"/>
    <x v="4"/>
    <s v="Electronics"/>
    <n v="3"/>
    <n v="7000"/>
    <n v="9000"/>
    <n v="44"/>
    <n v="26956"/>
  </r>
  <r>
    <n v="1108"/>
    <x v="86"/>
    <x v="2"/>
    <x v="3"/>
    <x v="5"/>
    <s v="Electronics"/>
    <n v="2"/>
    <n v="15000"/>
    <n v="18000"/>
    <n v="1124"/>
    <n v="34876"/>
  </r>
  <r>
    <n v="1109"/>
    <x v="87"/>
    <x v="3"/>
    <x v="5"/>
    <x v="0"/>
    <s v="Electronics"/>
    <n v="1"/>
    <n v="500"/>
    <n v="800"/>
    <n v="831"/>
    <n v="-31"/>
  </r>
  <r>
    <n v="1110"/>
    <x v="88"/>
    <x v="2"/>
    <x v="0"/>
    <x v="8"/>
    <s v="Electronics"/>
    <n v="5"/>
    <n v="1000"/>
    <n v="1500"/>
    <n v="624"/>
    <n v="6876"/>
  </r>
  <r>
    <n v="1111"/>
    <x v="16"/>
    <x v="1"/>
    <x v="3"/>
    <x v="3"/>
    <s v="Electronics"/>
    <n v="4"/>
    <n v="300"/>
    <n v="600"/>
    <n v="843"/>
    <n v="1557"/>
  </r>
  <r>
    <n v="1112"/>
    <x v="15"/>
    <x v="2"/>
    <x v="3"/>
    <x v="4"/>
    <s v="Electronics"/>
    <n v="6"/>
    <n v="7000"/>
    <n v="9000"/>
    <n v="1650"/>
    <n v="52350"/>
  </r>
  <r>
    <n v="1113"/>
    <x v="54"/>
    <x v="0"/>
    <x v="0"/>
    <x v="1"/>
    <s v="Electronics"/>
    <n v="6"/>
    <n v="8000"/>
    <n v="9500"/>
    <n v="662"/>
    <n v="56338"/>
  </r>
  <r>
    <n v="1114"/>
    <x v="89"/>
    <x v="0"/>
    <x v="3"/>
    <x v="2"/>
    <s v="Electronics"/>
    <n v="1"/>
    <n v="40000"/>
    <n v="45000"/>
    <n v="252"/>
    <n v="44748"/>
  </r>
  <r>
    <n v="1115"/>
    <x v="90"/>
    <x v="3"/>
    <x v="3"/>
    <x v="5"/>
    <s v="Electronics"/>
    <n v="5"/>
    <n v="15000"/>
    <n v="18000"/>
    <n v="1931"/>
    <n v="88069"/>
  </r>
  <r>
    <n v="1116"/>
    <x v="76"/>
    <x v="3"/>
    <x v="3"/>
    <x v="7"/>
    <s v="Furniture"/>
    <n v="6"/>
    <n v="4000"/>
    <n v="5500"/>
    <n v="1189"/>
    <n v="31811"/>
  </r>
  <r>
    <n v="1117"/>
    <x v="56"/>
    <x v="2"/>
    <x v="1"/>
    <x v="0"/>
    <s v="Electronics"/>
    <n v="4"/>
    <n v="500"/>
    <n v="800"/>
    <n v="1362"/>
    <n v="1838"/>
  </r>
  <r>
    <n v="1118"/>
    <x v="91"/>
    <x v="0"/>
    <x v="1"/>
    <x v="1"/>
    <s v="Electronics"/>
    <n v="1"/>
    <n v="8000"/>
    <n v="9500"/>
    <n v="1382"/>
    <n v="8118"/>
  </r>
  <r>
    <n v="1119"/>
    <x v="92"/>
    <x v="2"/>
    <x v="1"/>
    <x v="2"/>
    <s v="Electronics"/>
    <n v="1"/>
    <n v="40000"/>
    <n v="45000"/>
    <n v="1390"/>
    <n v="43610"/>
  </r>
  <r>
    <n v="1120"/>
    <x v="93"/>
    <x v="2"/>
    <x v="3"/>
    <x v="7"/>
    <s v="Furniture"/>
    <n v="1"/>
    <n v="4000"/>
    <n v="5500"/>
    <n v="176"/>
    <n v="5324"/>
  </r>
  <r>
    <n v="1121"/>
    <x v="94"/>
    <x v="2"/>
    <x v="1"/>
    <x v="9"/>
    <s v="Furniture"/>
    <n v="4"/>
    <n v="20000"/>
    <n v="25000"/>
    <n v="39"/>
    <n v="99961"/>
  </r>
  <r>
    <n v="1122"/>
    <x v="95"/>
    <x v="2"/>
    <x v="3"/>
    <x v="6"/>
    <s v="Furniture"/>
    <n v="6"/>
    <n v="5000"/>
    <n v="6500"/>
    <n v="495"/>
    <n v="38505"/>
  </r>
  <r>
    <n v="1123"/>
    <x v="26"/>
    <x v="3"/>
    <x v="1"/>
    <x v="0"/>
    <s v="Electronics"/>
    <n v="5"/>
    <n v="500"/>
    <n v="800"/>
    <n v="1576"/>
    <n v="2424"/>
  </r>
  <r>
    <n v="1124"/>
    <x v="96"/>
    <x v="2"/>
    <x v="2"/>
    <x v="3"/>
    <s v="Electronics"/>
    <n v="2"/>
    <n v="300"/>
    <n v="600"/>
    <n v="1793"/>
    <n v="-593"/>
  </r>
  <r>
    <n v="1125"/>
    <x v="97"/>
    <x v="0"/>
    <x v="1"/>
    <x v="5"/>
    <s v="Electronics"/>
    <n v="5"/>
    <n v="15000"/>
    <n v="18000"/>
    <n v="215"/>
    <n v="89785"/>
  </r>
  <r>
    <n v="1126"/>
    <x v="32"/>
    <x v="0"/>
    <x v="2"/>
    <x v="5"/>
    <s v="Electronics"/>
    <n v="5"/>
    <n v="15000"/>
    <n v="18000"/>
    <n v="1952"/>
    <n v="88048"/>
  </r>
  <r>
    <n v="1127"/>
    <x v="98"/>
    <x v="2"/>
    <x v="4"/>
    <x v="1"/>
    <s v="Electronics"/>
    <n v="5"/>
    <n v="8000"/>
    <n v="9500"/>
    <n v="1084"/>
    <n v="46416"/>
  </r>
  <r>
    <n v="1128"/>
    <x v="9"/>
    <x v="3"/>
    <x v="0"/>
    <x v="5"/>
    <s v="Electronics"/>
    <n v="5"/>
    <n v="15000"/>
    <n v="18000"/>
    <n v="1623"/>
    <n v="88377"/>
  </r>
  <r>
    <n v="1129"/>
    <x v="99"/>
    <x v="2"/>
    <x v="4"/>
    <x v="9"/>
    <s v="Furniture"/>
    <n v="6"/>
    <n v="20000"/>
    <n v="25000"/>
    <n v="722"/>
    <n v="149278"/>
  </r>
  <r>
    <n v="1130"/>
    <x v="81"/>
    <x v="0"/>
    <x v="1"/>
    <x v="7"/>
    <s v="Furniture"/>
    <n v="4"/>
    <n v="4000"/>
    <n v="5500"/>
    <n v="923"/>
    <n v="21077"/>
  </r>
  <r>
    <n v="1131"/>
    <x v="100"/>
    <x v="1"/>
    <x v="2"/>
    <x v="8"/>
    <s v="Electronics"/>
    <n v="6"/>
    <n v="1000"/>
    <n v="1500"/>
    <n v="1908"/>
    <n v="7092"/>
  </r>
  <r>
    <n v="1132"/>
    <x v="87"/>
    <x v="1"/>
    <x v="2"/>
    <x v="7"/>
    <s v="Furniture"/>
    <n v="1"/>
    <n v="4000"/>
    <n v="5500"/>
    <n v="534"/>
    <n v="4966"/>
  </r>
  <r>
    <n v="1133"/>
    <x v="101"/>
    <x v="0"/>
    <x v="3"/>
    <x v="10"/>
    <s v="Furniture"/>
    <n v="5"/>
    <n v="2000"/>
    <n v="2500"/>
    <n v="1663"/>
    <n v="10837"/>
  </r>
  <r>
    <n v="1134"/>
    <x v="102"/>
    <x v="0"/>
    <x v="3"/>
    <x v="9"/>
    <s v="Furniture"/>
    <n v="2"/>
    <n v="20000"/>
    <n v="25000"/>
    <n v="971"/>
    <n v="49029"/>
  </r>
  <r>
    <n v="1135"/>
    <x v="27"/>
    <x v="3"/>
    <x v="4"/>
    <x v="3"/>
    <s v="Electronics"/>
    <n v="6"/>
    <n v="300"/>
    <n v="600"/>
    <n v="1250"/>
    <n v="2350"/>
  </r>
  <r>
    <n v="1136"/>
    <x v="59"/>
    <x v="0"/>
    <x v="5"/>
    <x v="6"/>
    <s v="Furniture"/>
    <n v="2"/>
    <n v="5000"/>
    <n v="6500"/>
    <n v="1361"/>
    <n v="11639"/>
  </r>
  <r>
    <n v="1137"/>
    <x v="65"/>
    <x v="1"/>
    <x v="5"/>
    <x v="8"/>
    <s v="Electronics"/>
    <n v="5"/>
    <n v="1000"/>
    <n v="1500"/>
    <n v="262"/>
    <n v="7238"/>
  </r>
  <r>
    <n v="1138"/>
    <x v="77"/>
    <x v="0"/>
    <x v="4"/>
    <x v="8"/>
    <s v="Electronics"/>
    <n v="1"/>
    <n v="1000"/>
    <n v="1500"/>
    <n v="37"/>
    <n v="1463"/>
  </r>
  <r>
    <n v="1139"/>
    <x v="103"/>
    <x v="1"/>
    <x v="0"/>
    <x v="2"/>
    <s v="Electronics"/>
    <n v="6"/>
    <n v="40000"/>
    <n v="45000"/>
    <n v="578"/>
    <n v="269422"/>
  </r>
  <r>
    <n v="1140"/>
    <x v="104"/>
    <x v="1"/>
    <x v="4"/>
    <x v="3"/>
    <s v="Electronics"/>
    <n v="5"/>
    <n v="300"/>
    <n v="600"/>
    <n v="166"/>
    <n v="2834"/>
  </r>
  <r>
    <n v="1141"/>
    <x v="105"/>
    <x v="2"/>
    <x v="1"/>
    <x v="3"/>
    <s v="Electronics"/>
    <n v="4"/>
    <n v="300"/>
    <n v="600"/>
    <n v="1658"/>
    <n v="742"/>
  </r>
  <r>
    <n v="1142"/>
    <x v="6"/>
    <x v="2"/>
    <x v="2"/>
    <x v="9"/>
    <s v="Furniture"/>
    <n v="4"/>
    <n v="20000"/>
    <n v="25000"/>
    <n v="1415"/>
    <n v="98585"/>
  </r>
  <r>
    <n v="1143"/>
    <x v="106"/>
    <x v="2"/>
    <x v="0"/>
    <x v="8"/>
    <s v="Electronics"/>
    <n v="1"/>
    <n v="1000"/>
    <n v="1500"/>
    <n v="164"/>
    <n v="1336"/>
  </r>
  <r>
    <n v="1144"/>
    <x v="69"/>
    <x v="2"/>
    <x v="2"/>
    <x v="6"/>
    <s v="Furniture"/>
    <n v="4"/>
    <n v="5000"/>
    <n v="6500"/>
    <n v="1785"/>
    <n v="24215"/>
  </r>
  <r>
    <n v="1145"/>
    <x v="107"/>
    <x v="0"/>
    <x v="0"/>
    <x v="2"/>
    <s v="Electronics"/>
    <n v="3"/>
    <n v="40000"/>
    <n v="45000"/>
    <n v="339"/>
    <n v="134661"/>
  </r>
  <r>
    <n v="1146"/>
    <x v="40"/>
    <x v="2"/>
    <x v="2"/>
    <x v="2"/>
    <s v="Electronics"/>
    <n v="6"/>
    <n v="40000"/>
    <n v="45000"/>
    <n v="1695"/>
    <n v="268305"/>
  </r>
  <r>
    <n v="1147"/>
    <x v="55"/>
    <x v="2"/>
    <x v="4"/>
    <x v="0"/>
    <s v="Electronics"/>
    <n v="4"/>
    <n v="500"/>
    <n v="800"/>
    <n v="653"/>
    <n v="2547"/>
  </r>
  <r>
    <n v="1148"/>
    <x v="68"/>
    <x v="1"/>
    <x v="4"/>
    <x v="8"/>
    <s v="Electronics"/>
    <n v="4"/>
    <n v="1000"/>
    <n v="1500"/>
    <n v="1566"/>
    <n v="4434"/>
  </r>
  <r>
    <n v="1149"/>
    <x v="82"/>
    <x v="3"/>
    <x v="1"/>
    <x v="4"/>
    <s v="Electronics"/>
    <n v="1"/>
    <n v="7000"/>
    <n v="9000"/>
    <n v="108"/>
    <n v="8892"/>
  </r>
  <r>
    <n v="1150"/>
    <x v="93"/>
    <x v="2"/>
    <x v="2"/>
    <x v="8"/>
    <s v="Electronics"/>
    <n v="4"/>
    <n v="1000"/>
    <n v="1500"/>
    <n v="1556"/>
    <n v="4444"/>
  </r>
  <r>
    <n v="1151"/>
    <x v="108"/>
    <x v="0"/>
    <x v="2"/>
    <x v="1"/>
    <s v="Electronics"/>
    <n v="4"/>
    <n v="8000"/>
    <n v="9500"/>
    <n v="689"/>
    <n v="37311"/>
  </r>
  <r>
    <n v="1152"/>
    <x v="51"/>
    <x v="1"/>
    <x v="3"/>
    <x v="4"/>
    <s v="Electronics"/>
    <n v="4"/>
    <n v="7000"/>
    <n v="9000"/>
    <n v="756"/>
    <n v="35244"/>
  </r>
  <r>
    <n v="1153"/>
    <x v="12"/>
    <x v="3"/>
    <x v="5"/>
    <x v="7"/>
    <s v="Furniture"/>
    <n v="4"/>
    <n v="4000"/>
    <n v="5500"/>
    <n v="359"/>
    <n v="21641"/>
  </r>
  <r>
    <n v="1154"/>
    <x v="24"/>
    <x v="3"/>
    <x v="0"/>
    <x v="1"/>
    <s v="Electronics"/>
    <n v="1"/>
    <n v="8000"/>
    <n v="9500"/>
    <n v="57"/>
    <n v="9443"/>
  </r>
  <r>
    <n v="1155"/>
    <x v="109"/>
    <x v="0"/>
    <x v="1"/>
    <x v="3"/>
    <s v="Electronics"/>
    <n v="2"/>
    <n v="300"/>
    <n v="600"/>
    <n v="523"/>
    <n v="677"/>
  </r>
  <r>
    <n v="1156"/>
    <x v="90"/>
    <x v="1"/>
    <x v="0"/>
    <x v="3"/>
    <s v="Electronics"/>
    <n v="5"/>
    <n v="300"/>
    <n v="600"/>
    <n v="189"/>
    <n v="2811"/>
  </r>
  <r>
    <n v="1157"/>
    <x v="46"/>
    <x v="0"/>
    <x v="5"/>
    <x v="4"/>
    <s v="Electronics"/>
    <n v="3"/>
    <n v="7000"/>
    <n v="9000"/>
    <n v="318"/>
    <n v="26682"/>
  </r>
  <r>
    <n v="1158"/>
    <x v="97"/>
    <x v="0"/>
    <x v="2"/>
    <x v="0"/>
    <s v="Electronics"/>
    <n v="1"/>
    <n v="500"/>
    <n v="800"/>
    <n v="1177"/>
    <n v="-377"/>
  </r>
  <r>
    <n v="1159"/>
    <x v="10"/>
    <x v="2"/>
    <x v="2"/>
    <x v="8"/>
    <s v="Electronics"/>
    <n v="3"/>
    <n v="1000"/>
    <n v="1500"/>
    <n v="1647"/>
    <n v="2853"/>
  </r>
  <r>
    <n v="1160"/>
    <x v="110"/>
    <x v="2"/>
    <x v="0"/>
    <x v="10"/>
    <s v="Furniture"/>
    <n v="3"/>
    <n v="2000"/>
    <n v="2500"/>
    <n v="1759"/>
    <n v="5741"/>
  </r>
  <r>
    <n v="1161"/>
    <x v="58"/>
    <x v="2"/>
    <x v="1"/>
    <x v="6"/>
    <s v="Furniture"/>
    <n v="1"/>
    <n v="5000"/>
    <n v="6500"/>
    <n v="84"/>
    <n v="6416"/>
  </r>
  <r>
    <n v="1162"/>
    <x v="111"/>
    <x v="2"/>
    <x v="5"/>
    <x v="9"/>
    <s v="Furniture"/>
    <n v="4"/>
    <n v="20000"/>
    <n v="25000"/>
    <n v="754"/>
    <n v="99246"/>
  </r>
  <r>
    <n v="1163"/>
    <x v="111"/>
    <x v="2"/>
    <x v="4"/>
    <x v="5"/>
    <s v="Electronics"/>
    <n v="3"/>
    <n v="15000"/>
    <n v="18000"/>
    <n v="322"/>
    <n v="53678"/>
  </r>
  <r>
    <n v="1164"/>
    <x v="30"/>
    <x v="1"/>
    <x v="4"/>
    <x v="8"/>
    <s v="Electronics"/>
    <n v="1"/>
    <n v="1000"/>
    <n v="1500"/>
    <n v="1771"/>
    <n v="-271"/>
  </r>
  <r>
    <n v="1165"/>
    <x v="112"/>
    <x v="3"/>
    <x v="0"/>
    <x v="4"/>
    <s v="Electronics"/>
    <n v="6"/>
    <n v="7000"/>
    <n v="9000"/>
    <n v="1505"/>
    <n v="52495"/>
  </r>
  <r>
    <n v="1166"/>
    <x v="10"/>
    <x v="0"/>
    <x v="5"/>
    <x v="2"/>
    <s v="Electronics"/>
    <n v="5"/>
    <n v="40000"/>
    <n v="45000"/>
    <n v="1641"/>
    <n v="223359"/>
  </r>
  <r>
    <n v="1167"/>
    <x v="3"/>
    <x v="1"/>
    <x v="3"/>
    <x v="1"/>
    <s v="Electronics"/>
    <n v="3"/>
    <n v="8000"/>
    <n v="9500"/>
    <n v="390"/>
    <n v="28110"/>
  </r>
  <r>
    <n v="1168"/>
    <x v="73"/>
    <x v="1"/>
    <x v="1"/>
    <x v="5"/>
    <s v="Electronics"/>
    <n v="3"/>
    <n v="15000"/>
    <n v="18000"/>
    <n v="719"/>
    <n v="53281"/>
  </r>
  <r>
    <n v="1169"/>
    <x v="113"/>
    <x v="3"/>
    <x v="3"/>
    <x v="7"/>
    <s v="Furniture"/>
    <n v="6"/>
    <n v="4000"/>
    <n v="5500"/>
    <n v="103"/>
    <n v="32897"/>
  </r>
  <r>
    <n v="1170"/>
    <x v="114"/>
    <x v="3"/>
    <x v="4"/>
    <x v="4"/>
    <s v="Electronics"/>
    <n v="3"/>
    <n v="7000"/>
    <n v="9000"/>
    <n v="858"/>
    <n v="26142"/>
  </r>
  <r>
    <n v="1171"/>
    <x v="94"/>
    <x v="3"/>
    <x v="2"/>
    <x v="1"/>
    <s v="Electronics"/>
    <n v="4"/>
    <n v="8000"/>
    <n v="9500"/>
    <n v="211"/>
    <n v="37789"/>
  </r>
  <r>
    <n v="1172"/>
    <x v="115"/>
    <x v="2"/>
    <x v="4"/>
    <x v="7"/>
    <s v="Furniture"/>
    <n v="6"/>
    <n v="4000"/>
    <n v="5500"/>
    <n v="1908"/>
    <n v="31092"/>
  </r>
  <r>
    <n v="1173"/>
    <x v="116"/>
    <x v="1"/>
    <x v="5"/>
    <x v="5"/>
    <s v="Electronics"/>
    <n v="5"/>
    <n v="15000"/>
    <n v="18000"/>
    <n v="575"/>
    <n v="89425"/>
  </r>
  <r>
    <n v="1174"/>
    <x v="84"/>
    <x v="3"/>
    <x v="0"/>
    <x v="10"/>
    <s v="Furniture"/>
    <n v="6"/>
    <n v="2000"/>
    <n v="2500"/>
    <n v="1245"/>
    <n v="13755"/>
  </r>
  <r>
    <n v="1175"/>
    <x v="117"/>
    <x v="0"/>
    <x v="1"/>
    <x v="3"/>
    <s v="Electronics"/>
    <n v="4"/>
    <n v="300"/>
    <n v="600"/>
    <n v="781"/>
    <n v="1619"/>
  </r>
  <r>
    <n v="1176"/>
    <x v="55"/>
    <x v="2"/>
    <x v="0"/>
    <x v="0"/>
    <s v="Electronics"/>
    <n v="1"/>
    <n v="500"/>
    <n v="800"/>
    <n v="349"/>
    <n v="451"/>
  </r>
  <r>
    <n v="1177"/>
    <x v="36"/>
    <x v="3"/>
    <x v="1"/>
    <x v="9"/>
    <s v="Furniture"/>
    <n v="3"/>
    <n v="20000"/>
    <n v="25000"/>
    <n v="3"/>
    <n v="74997"/>
  </r>
  <r>
    <n v="1178"/>
    <x v="107"/>
    <x v="0"/>
    <x v="0"/>
    <x v="7"/>
    <s v="Furniture"/>
    <n v="1"/>
    <n v="4000"/>
    <n v="5500"/>
    <n v="894"/>
    <n v="4606"/>
  </r>
  <r>
    <n v="1179"/>
    <x v="118"/>
    <x v="0"/>
    <x v="2"/>
    <x v="0"/>
    <s v="Electronics"/>
    <n v="4"/>
    <n v="500"/>
    <n v="800"/>
    <n v="1860"/>
    <n v="1340"/>
  </r>
  <r>
    <n v="1180"/>
    <x v="119"/>
    <x v="1"/>
    <x v="0"/>
    <x v="8"/>
    <s v="Electronics"/>
    <n v="4"/>
    <n v="1000"/>
    <n v="1500"/>
    <n v="756"/>
    <n v="5244"/>
  </r>
  <r>
    <n v="1181"/>
    <x v="3"/>
    <x v="0"/>
    <x v="5"/>
    <x v="10"/>
    <s v="Furniture"/>
    <n v="4"/>
    <n v="2000"/>
    <n v="2500"/>
    <n v="949"/>
    <n v="9051"/>
  </r>
  <r>
    <n v="1182"/>
    <x v="120"/>
    <x v="1"/>
    <x v="1"/>
    <x v="6"/>
    <s v="Furniture"/>
    <n v="6"/>
    <n v="5000"/>
    <n v="6500"/>
    <n v="1352"/>
    <n v="37648"/>
  </r>
  <r>
    <n v="1183"/>
    <x v="121"/>
    <x v="1"/>
    <x v="1"/>
    <x v="3"/>
    <s v="Electronics"/>
    <n v="2"/>
    <n v="300"/>
    <n v="600"/>
    <n v="571"/>
    <n v="629"/>
  </r>
  <r>
    <n v="1184"/>
    <x v="122"/>
    <x v="3"/>
    <x v="4"/>
    <x v="6"/>
    <s v="Furniture"/>
    <n v="1"/>
    <n v="5000"/>
    <n v="6500"/>
    <n v="1508"/>
    <n v="4992"/>
  </r>
  <r>
    <n v="1185"/>
    <x v="123"/>
    <x v="0"/>
    <x v="5"/>
    <x v="2"/>
    <s v="Electronics"/>
    <n v="4"/>
    <n v="40000"/>
    <n v="45000"/>
    <n v="1236"/>
    <n v="178764"/>
  </r>
  <r>
    <n v="1186"/>
    <x v="124"/>
    <x v="2"/>
    <x v="1"/>
    <x v="8"/>
    <s v="Electronics"/>
    <n v="5"/>
    <n v="1000"/>
    <n v="1500"/>
    <n v="1259"/>
    <n v="6241"/>
  </r>
  <r>
    <n v="1187"/>
    <x v="13"/>
    <x v="0"/>
    <x v="3"/>
    <x v="5"/>
    <s v="Electronics"/>
    <n v="6"/>
    <n v="15000"/>
    <n v="18000"/>
    <n v="1734"/>
    <n v="106266"/>
  </r>
  <r>
    <n v="1188"/>
    <x v="114"/>
    <x v="0"/>
    <x v="4"/>
    <x v="10"/>
    <s v="Furniture"/>
    <n v="6"/>
    <n v="2000"/>
    <n v="2500"/>
    <n v="1236"/>
    <n v="13764"/>
  </r>
  <r>
    <n v="1189"/>
    <x v="125"/>
    <x v="2"/>
    <x v="4"/>
    <x v="5"/>
    <s v="Electronics"/>
    <n v="5"/>
    <n v="15000"/>
    <n v="18000"/>
    <n v="1444"/>
    <n v="88556"/>
  </r>
  <r>
    <n v="1190"/>
    <x v="92"/>
    <x v="0"/>
    <x v="1"/>
    <x v="8"/>
    <s v="Electronics"/>
    <n v="5"/>
    <n v="1000"/>
    <n v="1500"/>
    <n v="686"/>
    <n v="6814"/>
  </r>
  <r>
    <n v="1191"/>
    <x v="126"/>
    <x v="1"/>
    <x v="1"/>
    <x v="1"/>
    <s v="Electronics"/>
    <n v="6"/>
    <n v="8000"/>
    <n v="9500"/>
    <n v="936"/>
    <n v="56064"/>
  </r>
  <r>
    <n v="1192"/>
    <x v="44"/>
    <x v="3"/>
    <x v="4"/>
    <x v="1"/>
    <s v="Electronics"/>
    <n v="3"/>
    <n v="8000"/>
    <n v="9500"/>
    <n v="1522"/>
    <n v="26978"/>
  </r>
  <r>
    <n v="1193"/>
    <x v="7"/>
    <x v="1"/>
    <x v="3"/>
    <x v="0"/>
    <s v="Electronics"/>
    <n v="3"/>
    <n v="500"/>
    <n v="800"/>
    <n v="1884"/>
    <n v="516"/>
  </r>
  <r>
    <n v="1194"/>
    <x v="17"/>
    <x v="3"/>
    <x v="4"/>
    <x v="10"/>
    <s v="Furniture"/>
    <n v="4"/>
    <n v="2000"/>
    <n v="2500"/>
    <n v="1987"/>
    <n v="8013"/>
  </r>
  <r>
    <n v="1195"/>
    <x v="58"/>
    <x v="2"/>
    <x v="1"/>
    <x v="8"/>
    <s v="Electronics"/>
    <n v="5"/>
    <n v="1000"/>
    <n v="1500"/>
    <n v="884"/>
    <n v="6616"/>
  </r>
  <r>
    <n v="1196"/>
    <x v="64"/>
    <x v="2"/>
    <x v="3"/>
    <x v="10"/>
    <s v="Furniture"/>
    <n v="2"/>
    <n v="2000"/>
    <n v="2500"/>
    <n v="133"/>
    <n v="4867"/>
  </r>
  <r>
    <n v="1197"/>
    <x v="14"/>
    <x v="3"/>
    <x v="0"/>
    <x v="6"/>
    <s v="Furniture"/>
    <n v="3"/>
    <n v="5000"/>
    <n v="6500"/>
    <n v="553"/>
    <n v="18947"/>
  </r>
  <r>
    <n v="1198"/>
    <x v="36"/>
    <x v="3"/>
    <x v="0"/>
    <x v="2"/>
    <s v="Electronics"/>
    <n v="2"/>
    <n v="40000"/>
    <n v="45000"/>
    <n v="503"/>
    <n v="89497"/>
  </r>
  <r>
    <n v="1199"/>
    <x v="49"/>
    <x v="0"/>
    <x v="1"/>
    <x v="3"/>
    <s v="Electronics"/>
    <n v="3"/>
    <n v="300"/>
    <n v="600"/>
    <n v="1468"/>
    <n v="332"/>
  </r>
  <r>
    <n v="1200"/>
    <x v="127"/>
    <x v="3"/>
    <x v="4"/>
    <x v="10"/>
    <s v="Furniture"/>
    <n v="6"/>
    <n v="2000"/>
    <n v="2500"/>
    <n v="1999"/>
    <n v="13001"/>
  </r>
  <r>
    <n v="1201"/>
    <x v="87"/>
    <x v="2"/>
    <x v="1"/>
    <x v="9"/>
    <s v="Furniture"/>
    <n v="1"/>
    <n v="20000"/>
    <n v="25000"/>
    <n v="1231"/>
    <n v="23769"/>
  </r>
  <r>
    <n v="1202"/>
    <x v="128"/>
    <x v="1"/>
    <x v="4"/>
    <x v="5"/>
    <s v="Electronics"/>
    <n v="5"/>
    <n v="15000"/>
    <n v="18000"/>
    <n v="1649"/>
    <n v="88351"/>
  </r>
  <r>
    <n v="1203"/>
    <x v="129"/>
    <x v="0"/>
    <x v="5"/>
    <x v="4"/>
    <s v="Electronics"/>
    <n v="6"/>
    <n v="7000"/>
    <n v="9000"/>
    <n v="560"/>
    <n v="53440"/>
  </r>
  <r>
    <n v="1204"/>
    <x v="111"/>
    <x v="1"/>
    <x v="1"/>
    <x v="4"/>
    <s v="Electronics"/>
    <n v="2"/>
    <n v="7000"/>
    <n v="9000"/>
    <n v="116"/>
    <n v="17884"/>
  </r>
  <r>
    <n v="1205"/>
    <x v="65"/>
    <x v="2"/>
    <x v="0"/>
    <x v="0"/>
    <s v="Electronics"/>
    <n v="3"/>
    <n v="500"/>
    <n v="800"/>
    <n v="231"/>
    <n v="2169"/>
  </r>
  <r>
    <n v="1206"/>
    <x v="20"/>
    <x v="1"/>
    <x v="3"/>
    <x v="2"/>
    <s v="Electronics"/>
    <n v="1"/>
    <n v="40000"/>
    <n v="45000"/>
    <n v="1646"/>
    <n v="43354"/>
  </r>
  <r>
    <n v="1207"/>
    <x v="94"/>
    <x v="1"/>
    <x v="3"/>
    <x v="3"/>
    <s v="Electronics"/>
    <n v="4"/>
    <n v="300"/>
    <n v="600"/>
    <n v="1212"/>
    <n v="1188"/>
  </r>
  <r>
    <n v="1208"/>
    <x v="101"/>
    <x v="1"/>
    <x v="2"/>
    <x v="0"/>
    <s v="Electronics"/>
    <n v="1"/>
    <n v="500"/>
    <n v="800"/>
    <n v="14"/>
    <n v="786"/>
  </r>
  <r>
    <n v="1209"/>
    <x v="26"/>
    <x v="1"/>
    <x v="2"/>
    <x v="0"/>
    <s v="Electronics"/>
    <n v="1"/>
    <n v="500"/>
    <n v="800"/>
    <n v="1560"/>
    <n v="-760"/>
  </r>
  <r>
    <n v="1210"/>
    <x v="130"/>
    <x v="0"/>
    <x v="2"/>
    <x v="2"/>
    <s v="Electronics"/>
    <n v="1"/>
    <n v="40000"/>
    <n v="45000"/>
    <n v="1366"/>
    <n v="43634"/>
  </r>
  <r>
    <n v="1211"/>
    <x v="11"/>
    <x v="2"/>
    <x v="5"/>
    <x v="7"/>
    <s v="Furniture"/>
    <n v="3"/>
    <n v="4000"/>
    <n v="5500"/>
    <n v="794"/>
    <n v="15706"/>
  </r>
  <r>
    <n v="1212"/>
    <x v="93"/>
    <x v="3"/>
    <x v="2"/>
    <x v="5"/>
    <s v="Electronics"/>
    <n v="2"/>
    <n v="15000"/>
    <n v="18000"/>
    <n v="72"/>
    <n v="35928"/>
  </r>
  <r>
    <n v="1213"/>
    <x v="76"/>
    <x v="1"/>
    <x v="5"/>
    <x v="9"/>
    <s v="Furniture"/>
    <n v="3"/>
    <n v="20000"/>
    <n v="25000"/>
    <n v="1090"/>
    <n v="73910"/>
  </r>
  <r>
    <n v="1214"/>
    <x v="98"/>
    <x v="3"/>
    <x v="0"/>
    <x v="6"/>
    <s v="Furniture"/>
    <n v="2"/>
    <n v="5000"/>
    <n v="6500"/>
    <n v="832"/>
    <n v="12168"/>
  </r>
  <r>
    <n v="1215"/>
    <x v="30"/>
    <x v="0"/>
    <x v="2"/>
    <x v="5"/>
    <s v="Electronics"/>
    <n v="3"/>
    <n v="15000"/>
    <n v="18000"/>
    <n v="1862"/>
    <n v="52138"/>
  </r>
  <r>
    <n v="1216"/>
    <x v="30"/>
    <x v="2"/>
    <x v="1"/>
    <x v="4"/>
    <s v="Electronics"/>
    <n v="1"/>
    <n v="7000"/>
    <n v="9000"/>
    <n v="1281"/>
    <n v="7719"/>
  </r>
  <r>
    <n v="1217"/>
    <x v="18"/>
    <x v="1"/>
    <x v="3"/>
    <x v="7"/>
    <s v="Furniture"/>
    <n v="4"/>
    <n v="4000"/>
    <n v="5500"/>
    <n v="587"/>
    <n v="21413"/>
  </r>
  <r>
    <n v="1218"/>
    <x v="79"/>
    <x v="1"/>
    <x v="2"/>
    <x v="9"/>
    <s v="Furniture"/>
    <n v="1"/>
    <n v="20000"/>
    <n v="25000"/>
    <n v="1556"/>
    <n v="23444"/>
  </r>
  <r>
    <n v="1219"/>
    <x v="103"/>
    <x v="0"/>
    <x v="5"/>
    <x v="3"/>
    <s v="Electronics"/>
    <n v="4"/>
    <n v="300"/>
    <n v="600"/>
    <n v="363"/>
    <n v="2037"/>
  </r>
  <r>
    <n v="1220"/>
    <x v="131"/>
    <x v="2"/>
    <x v="1"/>
    <x v="2"/>
    <s v="Electronics"/>
    <n v="1"/>
    <n v="40000"/>
    <n v="45000"/>
    <n v="1832"/>
    <n v="43168"/>
  </r>
  <r>
    <n v="1221"/>
    <x v="132"/>
    <x v="3"/>
    <x v="0"/>
    <x v="0"/>
    <s v="Electronics"/>
    <n v="1"/>
    <n v="500"/>
    <n v="800"/>
    <n v="1558"/>
    <n v="-758"/>
  </r>
  <r>
    <n v="1222"/>
    <x v="101"/>
    <x v="3"/>
    <x v="4"/>
    <x v="1"/>
    <s v="Electronics"/>
    <n v="1"/>
    <n v="8000"/>
    <n v="9500"/>
    <n v="830"/>
    <n v="8670"/>
  </r>
  <r>
    <n v="1223"/>
    <x v="103"/>
    <x v="3"/>
    <x v="4"/>
    <x v="8"/>
    <s v="Electronics"/>
    <n v="5"/>
    <n v="1000"/>
    <n v="1500"/>
    <n v="1796"/>
    <n v="5704"/>
  </r>
  <r>
    <n v="1224"/>
    <x v="115"/>
    <x v="3"/>
    <x v="3"/>
    <x v="3"/>
    <s v="Electronics"/>
    <n v="5"/>
    <n v="300"/>
    <n v="600"/>
    <n v="1785"/>
    <n v="1215"/>
  </r>
  <r>
    <n v="1225"/>
    <x v="133"/>
    <x v="0"/>
    <x v="3"/>
    <x v="0"/>
    <s v="Electronics"/>
    <n v="5"/>
    <n v="500"/>
    <n v="800"/>
    <n v="1669"/>
    <n v="2331"/>
  </r>
  <r>
    <n v="1226"/>
    <x v="52"/>
    <x v="0"/>
    <x v="1"/>
    <x v="10"/>
    <s v="Furniture"/>
    <n v="6"/>
    <n v="2000"/>
    <n v="2500"/>
    <n v="319"/>
    <n v="14681"/>
  </r>
  <r>
    <n v="1227"/>
    <x v="109"/>
    <x v="1"/>
    <x v="5"/>
    <x v="8"/>
    <s v="Electronics"/>
    <n v="3"/>
    <n v="1000"/>
    <n v="1500"/>
    <n v="1685"/>
    <n v="2815"/>
  </r>
  <r>
    <n v="1228"/>
    <x v="80"/>
    <x v="1"/>
    <x v="0"/>
    <x v="9"/>
    <s v="Furniture"/>
    <n v="2"/>
    <n v="20000"/>
    <n v="25000"/>
    <n v="1039"/>
    <n v="48961"/>
  </r>
  <r>
    <n v="1229"/>
    <x v="134"/>
    <x v="2"/>
    <x v="0"/>
    <x v="1"/>
    <s v="Electronics"/>
    <n v="3"/>
    <n v="8000"/>
    <n v="9500"/>
    <n v="219"/>
    <n v="28281"/>
  </r>
  <r>
    <n v="1230"/>
    <x v="27"/>
    <x v="3"/>
    <x v="0"/>
    <x v="8"/>
    <s v="Electronics"/>
    <n v="5"/>
    <n v="1000"/>
    <n v="1500"/>
    <n v="638"/>
    <n v="6862"/>
  </r>
  <r>
    <n v="1231"/>
    <x v="116"/>
    <x v="1"/>
    <x v="5"/>
    <x v="4"/>
    <s v="Electronics"/>
    <n v="4"/>
    <n v="7000"/>
    <n v="9000"/>
    <n v="603"/>
    <n v="35397"/>
  </r>
  <r>
    <n v="1232"/>
    <x v="11"/>
    <x v="3"/>
    <x v="5"/>
    <x v="4"/>
    <s v="Electronics"/>
    <n v="4"/>
    <n v="7000"/>
    <n v="9000"/>
    <n v="1281"/>
    <n v="34719"/>
  </r>
  <r>
    <n v="1233"/>
    <x v="70"/>
    <x v="1"/>
    <x v="5"/>
    <x v="3"/>
    <s v="Electronics"/>
    <n v="4"/>
    <n v="300"/>
    <n v="600"/>
    <n v="922"/>
    <n v="1478"/>
  </r>
  <r>
    <n v="1234"/>
    <x v="125"/>
    <x v="0"/>
    <x v="5"/>
    <x v="1"/>
    <s v="Electronics"/>
    <n v="2"/>
    <n v="8000"/>
    <n v="9500"/>
    <n v="900"/>
    <n v="18100"/>
  </r>
  <r>
    <n v="1235"/>
    <x v="52"/>
    <x v="2"/>
    <x v="2"/>
    <x v="4"/>
    <s v="Electronics"/>
    <n v="6"/>
    <n v="7000"/>
    <n v="9000"/>
    <n v="262"/>
    <n v="53738"/>
  </r>
  <r>
    <n v="1236"/>
    <x v="32"/>
    <x v="1"/>
    <x v="3"/>
    <x v="9"/>
    <s v="Furniture"/>
    <n v="1"/>
    <n v="20000"/>
    <n v="25000"/>
    <n v="1849"/>
    <n v="23151"/>
  </r>
  <r>
    <n v="1237"/>
    <x v="110"/>
    <x v="1"/>
    <x v="5"/>
    <x v="2"/>
    <s v="Electronics"/>
    <n v="4"/>
    <n v="40000"/>
    <n v="45000"/>
    <n v="1757"/>
    <n v="178243"/>
  </r>
  <r>
    <n v="1238"/>
    <x v="49"/>
    <x v="2"/>
    <x v="2"/>
    <x v="3"/>
    <s v="Electronics"/>
    <n v="5"/>
    <n v="300"/>
    <n v="600"/>
    <n v="1708"/>
    <n v="1292"/>
  </r>
  <r>
    <n v="1239"/>
    <x v="135"/>
    <x v="3"/>
    <x v="3"/>
    <x v="5"/>
    <s v="Electronics"/>
    <n v="5"/>
    <n v="15000"/>
    <n v="18000"/>
    <n v="1907"/>
    <n v="88093"/>
  </r>
  <r>
    <n v="1240"/>
    <x v="69"/>
    <x v="3"/>
    <x v="2"/>
    <x v="2"/>
    <s v="Electronics"/>
    <n v="2"/>
    <n v="40000"/>
    <n v="45000"/>
    <n v="929"/>
    <n v="89071"/>
  </r>
  <r>
    <n v="1241"/>
    <x v="29"/>
    <x v="0"/>
    <x v="1"/>
    <x v="6"/>
    <s v="Furniture"/>
    <n v="5"/>
    <n v="5000"/>
    <n v="6500"/>
    <n v="1193"/>
    <n v="31307"/>
  </r>
  <r>
    <n v="1242"/>
    <x v="55"/>
    <x v="3"/>
    <x v="5"/>
    <x v="7"/>
    <s v="Furniture"/>
    <n v="1"/>
    <n v="4000"/>
    <n v="5500"/>
    <n v="1083"/>
    <n v="4417"/>
  </r>
  <r>
    <n v="1243"/>
    <x v="16"/>
    <x v="0"/>
    <x v="0"/>
    <x v="9"/>
    <s v="Furniture"/>
    <n v="1"/>
    <n v="20000"/>
    <n v="25000"/>
    <n v="1228"/>
    <n v="23772"/>
  </r>
  <r>
    <n v="1244"/>
    <x v="1"/>
    <x v="1"/>
    <x v="2"/>
    <x v="10"/>
    <s v="Furniture"/>
    <n v="4"/>
    <n v="2000"/>
    <n v="2500"/>
    <n v="1358"/>
    <n v="8642"/>
  </r>
  <r>
    <n v="1245"/>
    <x v="43"/>
    <x v="1"/>
    <x v="0"/>
    <x v="8"/>
    <s v="Electronics"/>
    <n v="4"/>
    <n v="1000"/>
    <n v="1500"/>
    <n v="852"/>
    <n v="5148"/>
  </r>
  <r>
    <n v="1246"/>
    <x v="27"/>
    <x v="2"/>
    <x v="1"/>
    <x v="9"/>
    <s v="Furniture"/>
    <n v="6"/>
    <n v="20000"/>
    <n v="25000"/>
    <n v="1742"/>
    <n v="148258"/>
  </r>
  <r>
    <n v="1247"/>
    <x v="42"/>
    <x v="2"/>
    <x v="3"/>
    <x v="6"/>
    <s v="Furniture"/>
    <n v="1"/>
    <n v="5000"/>
    <n v="6500"/>
    <n v="428"/>
    <n v="6072"/>
  </r>
  <r>
    <n v="1248"/>
    <x v="44"/>
    <x v="0"/>
    <x v="3"/>
    <x v="9"/>
    <s v="Furniture"/>
    <n v="4"/>
    <n v="20000"/>
    <n v="25000"/>
    <n v="447"/>
    <n v="99553"/>
  </r>
  <r>
    <n v="1249"/>
    <x v="108"/>
    <x v="0"/>
    <x v="0"/>
    <x v="9"/>
    <s v="Furniture"/>
    <n v="1"/>
    <n v="20000"/>
    <n v="25000"/>
    <n v="1476"/>
    <n v="23524"/>
  </r>
  <r>
    <n v="1250"/>
    <x v="68"/>
    <x v="2"/>
    <x v="3"/>
    <x v="0"/>
    <s v="Electronics"/>
    <n v="2"/>
    <n v="500"/>
    <n v="800"/>
    <n v="1053"/>
    <n v="547"/>
  </r>
  <r>
    <n v="1251"/>
    <x v="50"/>
    <x v="2"/>
    <x v="2"/>
    <x v="5"/>
    <s v="Electronics"/>
    <n v="5"/>
    <n v="15000"/>
    <n v="18000"/>
    <n v="813"/>
    <n v="89187"/>
  </r>
  <r>
    <n v="1252"/>
    <x v="114"/>
    <x v="3"/>
    <x v="2"/>
    <x v="9"/>
    <s v="Furniture"/>
    <n v="4"/>
    <n v="20000"/>
    <n v="25000"/>
    <n v="84"/>
    <n v="99916"/>
  </r>
  <r>
    <n v="1253"/>
    <x v="93"/>
    <x v="1"/>
    <x v="5"/>
    <x v="5"/>
    <s v="Electronics"/>
    <n v="1"/>
    <n v="15000"/>
    <n v="18000"/>
    <n v="1123"/>
    <n v="16877"/>
  </r>
  <r>
    <n v="1254"/>
    <x v="136"/>
    <x v="1"/>
    <x v="3"/>
    <x v="6"/>
    <s v="Furniture"/>
    <n v="6"/>
    <n v="5000"/>
    <n v="6500"/>
    <n v="1909"/>
    <n v="37091"/>
  </r>
  <r>
    <n v="1255"/>
    <x v="80"/>
    <x v="1"/>
    <x v="1"/>
    <x v="5"/>
    <s v="Electronics"/>
    <n v="2"/>
    <n v="15000"/>
    <n v="18000"/>
    <n v="1964"/>
    <n v="34036"/>
  </r>
  <r>
    <n v="1256"/>
    <x v="137"/>
    <x v="1"/>
    <x v="0"/>
    <x v="3"/>
    <s v="Electronics"/>
    <n v="1"/>
    <n v="300"/>
    <n v="600"/>
    <n v="209"/>
    <n v="391"/>
  </r>
  <r>
    <n v="1257"/>
    <x v="2"/>
    <x v="0"/>
    <x v="4"/>
    <x v="10"/>
    <s v="Furniture"/>
    <n v="1"/>
    <n v="2000"/>
    <n v="2500"/>
    <n v="130"/>
    <n v="2370"/>
  </r>
  <r>
    <n v="1258"/>
    <x v="138"/>
    <x v="1"/>
    <x v="0"/>
    <x v="9"/>
    <s v="Furniture"/>
    <n v="2"/>
    <n v="20000"/>
    <n v="25000"/>
    <n v="471"/>
    <n v="49529"/>
  </r>
  <r>
    <n v="1259"/>
    <x v="126"/>
    <x v="0"/>
    <x v="0"/>
    <x v="2"/>
    <s v="Electronics"/>
    <n v="6"/>
    <n v="40000"/>
    <n v="45000"/>
    <n v="1430"/>
    <n v="268570"/>
  </r>
  <r>
    <n v="1260"/>
    <x v="115"/>
    <x v="3"/>
    <x v="5"/>
    <x v="9"/>
    <s v="Furniture"/>
    <n v="5"/>
    <n v="20000"/>
    <n v="25000"/>
    <n v="615"/>
    <n v="124385"/>
  </r>
  <r>
    <n v="1261"/>
    <x v="139"/>
    <x v="3"/>
    <x v="2"/>
    <x v="8"/>
    <s v="Electronics"/>
    <n v="5"/>
    <n v="1000"/>
    <n v="1500"/>
    <n v="1846"/>
    <n v="5654"/>
  </r>
  <r>
    <n v="1262"/>
    <x v="6"/>
    <x v="1"/>
    <x v="3"/>
    <x v="5"/>
    <s v="Electronics"/>
    <n v="5"/>
    <n v="15000"/>
    <n v="18000"/>
    <n v="1493"/>
    <n v="88507"/>
  </r>
  <r>
    <n v="1263"/>
    <x v="124"/>
    <x v="0"/>
    <x v="2"/>
    <x v="4"/>
    <s v="Electronics"/>
    <n v="4"/>
    <n v="7000"/>
    <n v="9000"/>
    <n v="86"/>
    <n v="35914"/>
  </r>
  <r>
    <n v="1264"/>
    <x v="73"/>
    <x v="2"/>
    <x v="4"/>
    <x v="9"/>
    <s v="Furniture"/>
    <n v="5"/>
    <n v="20000"/>
    <n v="25000"/>
    <n v="1026"/>
    <n v="123974"/>
  </r>
  <r>
    <n v="1265"/>
    <x v="134"/>
    <x v="3"/>
    <x v="0"/>
    <x v="5"/>
    <s v="Electronics"/>
    <n v="4"/>
    <n v="15000"/>
    <n v="18000"/>
    <n v="474"/>
    <n v="71526"/>
  </r>
  <r>
    <n v="1266"/>
    <x v="32"/>
    <x v="0"/>
    <x v="1"/>
    <x v="9"/>
    <s v="Furniture"/>
    <n v="3"/>
    <n v="20000"/>
    <n v="25000"/>
    <n v="825"/>
    <n v="74175"/>
  </r>
  <r>
    <n v="1267"/>
    <x v="76"/>
    <x v="2"/>
    <x v="0"/>
    <x v="7"/>
    <s v="Furniture"/>
    <n v="2"/>
    <n v="4000"/>
    <n v="5500"/>
    <n v="863"/>
    <n v="10137"/>
  </r>
  <r>
    <n v="1268"/>
    <x v="34"/>
    <x v="2"/>
    <x v="1"/>
    <x v="9"/>
    <s v="Furniture"/>
    <n v="2"/>
    <n v="20000"/>
    <n v="25000"/>
    <n v="740"/>
    <n v="49260"/>
  </r>
  <r>
    <n v="1269"/>
    <x v="55"/>
    <x v="1"/>
    <x v="1"/>
    <x v="8"/>
    <s v="Electronics"/>
    <n v="4"/>
    <n v="1000"/>
    <n v="1500"/>
    <n v="273"/>
    <n v="5727"/>
  </r>
  <r>
    <n v="1270"/>
    <x v="132"/>
    <x v="3"/>
    <x v="0"/>
    <x v="4"/>
    <s v="Electronics"/>
    <n v="5"/>
    <n v="7000"/>
    <n v="9000"/>
    <n v="137"/>
    <n v="44863"/>
  </r>
  <r>
    <n v="1271"/>
    <x v="132"/>
    <x v="1"/>
    <x v="4"/>
    <x v="1"/>
    <s v="Electronics"/>
    <n v="4"/>
    <n v="8000"/>
    <n v="9500"/>
    <n v="1568"/>
    <n v="36432"/>
  </r>
  <r>
    <n v="1272"/>
    <x v="137"/>
    <x v="1"/>
    <x v="3"/>
    <x v="9"/>
    <s v="Furniture"/>
    <n v="3"/>
    <n v="20000"/>
    <n v="25000"/>
    <n v="518"/>
    <n v="74482"/>
  </r>
  <r>
    <n v="1273"/>
    <x v="32"/>
    <x v="1"/>
    <x v="2"/>
    <x v="1"/>
    <s v="Electronics"/>
    <n v="5"/>
    <n v="8000"/>
    <n v="9500"/>
    <n v="257"/>
    <n v="47243"/>
  </r>
  <r>
    <n v="1274"/>
    <x v="128"/>
    <x v="2"/>
    <x v="1"/>
    <x v="3"/>
    <s v="Electronics"/>
    <n v="3"/>
    <n v="300"/>
    <n v="600"/>
    <n v="553"/>
    <n v="1247"/>
  </r>
  <r>
    <n v="1275"/>
    <x v="140"/>
    <x v="2"/>
    <x v="0"/>
    <x v="7"/>
    <s v="Furniture"/>
    <n v="3"/>
    <n v="4000"/>
    <n v="5500"/>
    <n v="883"/>
    <n v="15617"/>
  </r>
  <r>
    <n v="1276"/>
    <x v="138"/>
    <x v="2"/>
    <x v="1"/>
    <x v="4"/>
    <s v="Electronics"/>
    <n v="6"/>
    <n v="7000"/>
    <n v="9000"/>
    <n v="401"/>
    <n v="53599"/>
  </r>
  <r>
    <n v="1277"/>
    <x v="93"/>
    <x v="3"/>
    <x v="4"/>
    <x v="7"/>
    <s v="Furniture"/>
    <n v="4"/>
    <n v="4000"/>
    <n v="5500"/>
    <n v="1109"/>
    <n v="20891"/>
  </r>
  <r>
    <n v="1278"/>
    <x v="141"/>
    <x v="1"/>
    <x v="3"/>
    <x v="8"/>
    <s v="Electronics"/>
    <n v="5"/>
    <n v="1000"/>
    <n v="1500"/>
    <n v="1536"/>
    <n v="5964"/>
  </r>
  <r>
    <n v="1279"/>
    <x v="95"/>
    <x v="3"/>
    <x v="3"/>
    <x v="1"/>
    <s v="Electronics"/>
    <n v="3"/>
    <n v="8000"/>
    <n v="9500"/>
    <n v="43"/>
    <n v="28457"/>
  </r>
  <r>
    <n v="1280"/>
    <x v="108"/>
    <x v="3"/>
    <x v="4"/>
    <x v="2"/>
    <s v="Electronics"/>
    <n v="3"/>
    <n v="40000"/>
    <n v="45000"/>
    <n v="413"/>
    <n v="134587"/>
  </r>
  <r>
    <n v="1281"/>
    <x v="111"/>
    <x v="3"/>
    <x v="3"/>
    <x v="8"/>
    <s v="Electronics"/>
    <n v="1"/>
    <n v="1000"/>
    <n v="1500"/>
    <n v="1284"/>
    <n v="216"/>
  </r>
  <r>
    <n v="1282"/>
    <x v="113"/>
    <x v="3"/>
    <x v="1"/>
    <x v="5"/>
    <s v="Electronics"/>
    <n v="2"/>
    <n v="15000"/>
    <n v="18000"/>
    <n v="1994"/>
    <n v="34006"/>
  </r>
  <r>
    <n v="1283"/>
    <x v="142"/>
    <x v="0"/>
    <x v="5"/>
    <x v="7"/>
    <s v="Furniture"/>
    <n v="5"/>
    <n v="4000"/>
    <n v="5500"/>
    <n v="823"/>
    <n v="26677"/>
  </r>
  <r>
    <n v="1284"/>
    <x v="96"/>
    <x v="0"/>
    <x v="3"/>
    <x v="1"/>
    <s v="Electronics"/>
    <n v="4"/>
    <n v="8000"/>
    <n v="9500"/>
    <n v="667"/>
    <n v="37333"/>
  </r>
  <r>
    <n v="1285"/>
    <x v="11"/>
    <x v="3"/>
    <x v="0"/>
    <x v="7"/>
    <s v="Furniture"/>
    <n v="3"/>
    <n v="4000"/>
    <n v="5500"/>
    <n v="1494"/>
    <n v="15006"/>
  </r>
  <r>
    <n v="1286"/>
    <x v="128"/>
    <x v="3"/>
    <x v="4"/>
    <x v="8"/>
    <s v="Electronics"/>
    <n v="1"/>
    <n v="1000"/>
    <n v="1500"/>
    <n v="202"/>
    <n v="1298"/>
  </r>
  <r>
    <n v="1287"/>
    <x v="8"/>
    <x v="1"/>
    <x v="2"/>
    <x v="3"/>
    <s v="Electronics"/>
    <n v="3"/>
    <n v="300"/>
    <n v="600"/>
    <n v="1170"/>
    <n v="630"/>
  </r>
  <r>
    <n v="1288"/>
    <x v="143"/>
    <x v="2"/>
    <x v="4"/>
    <x v="3"/>
    <s v="Electronics"/>
    <n v="4"/>
    <n v="300"/>
    <n v="600"/>
    <n v="1182"/>
    <n v="1218"/>
  </r>
  <r>
    <n v="1289"/>
    <x v="42"/>
    <x v="0"/>
    <x v="2"/>
    <x v="0"/>
    <s v="Electronics"/>
    <n v="4"/>
    <n v="500"/>
    <n v="800"/>
    <n v="1637"/>
    <n v="1563"/>
  </r>
  <r>
    <n v="1290"/>
    <x v="66"/>
    <x v="2"/>
    <x v="2"/>
    <x v="7"/>
    <s v="Furniture"/>
    <n v="5"/>
    <n v="4000"/>
    <n v="5500"/>
    <n v="1430"/>
    <n v="26070"/>
  </r>
  <r>
    <n v="1291"/>
    <x v="115"/>
    <x v="0"/>
    <x v="4"/>
    <x v="8"/>
    <s v="Electronics"/>
    <n v="2"/>
    <n v="1000"/>
    <n v="1500"/>
    <n v="1101"/>
    <n v="1899"/>
  </r>
  <r>
    <n v="1292"/>
    <x v="116"/>
    <x v="1"/>
    <x v="5"/>
    <x v="0"/>
    <s v="Electronics"/>
    <n v="5"/>
    <n v="500"/>
    <n v="800"/>
    <n v="1845"/>
    <n v="2155"/>
  </r>
  <r>
    <n v="1293"/>
    <x v="44"/>
    <x v="1"/>
    <x v="4"/>
    <x v="6"/>
    <s v="Furniture"/>
    <n v="1"/>
    <n v="5000"/>
    <n v="6500"/>
    <n v="556"/>
    <n v="5944"/>
  </r>
  <r>
    <n v="1294"/>
    <x v="87"/>
    <x v="0"/>
    <x v="3"/>
    <x v="10"/>
    <s v="Furniture"/>
    <n v="3"/>
    <n v="2000"/>
    <n v="2500"/>
    <n v="1690"/>
    <n v="5810"/>
  </r>
  <r>
    <n v="1295"/>
    <x v="58"/>
    <x v="0"/>
    <x v="2"/>
    <x v="10"/>
    <s v="Furniture"/>
    <n v="4"/>
    <n v="2000"/>
    <n v="2500"/>
    <n v="1361"/>
    <n v="8639"/>
  </r>
  <r>
    <n v="1296"/>
    <x v="79"/>
    <x v="1"/>
    <x v="2"/>
    <x v="10"/>
    <s v="Furniture"/>
    <n v="2"/>
    <n v="2000"/>
    <n v="2500"/>
    <n v="303"/>
    <n v="4697"/>
  </r>
  <r>
    <n v="1297"/>
    <x v="116"/>
    <x v="0"/>
    <x v="2"/>
    <x v="9"/>
    <s v="Furniture"/>
    <n v="2"/>
    <n v="20000"/>
    <n v="25000"/>
    <n v="1114"/>
    <n v="48886"/>
  </r>
  <r>
    <n v="1298"/>
    <x v="124"/>
    <x v="1"/>
    <x v="3"/>
    <x v="0"/>
    <s v="Electronics"/>
    <n v="5"/>
    <n v="500"/>
    <n v="800"/>
    <n v="121"/>
    <n v="3879"/>
  </r>
  <r>
    <n v="1299"/>
    <x v="30"/>
    <x v="3"/>
    <x v="3"/>
    <x v="9"/>
    <s v="Furniture"/>
    <n v="2"/>
    <n v="20000"/>
    <n v="25000"/>
    <n v="670"/>
    <n v="49330"/>
  </r>
  <r>
    <n v="1300"/>
    <x v="41"/>
    <x v="0"/>
    <x v="1"/>
    <x v="5"/>
    <s v="Electronics"/>
    <n v="1"/>
    <n v="15000"/>
    <n v="18000"/>
    <n v="1171"/>
    <n v="16829"/>
  </r>
  <r>
    <n v="1301"/>
    <x v="144"/>
    <x v="0"/>
    <x v="4"/>
    <x v="2"/>
    <s v="Electronics"/>
    <n v="6"/>
    <n v="40000"/>
    <n v="45000"/>
    <n v="773"/>
    <n v="269227"/>
  </r>
  <r>
    <n v="1302"/>
    <x v="145"/>
    <x v="0"/>
    <x v="0"/>
    <x v="6"/>
    <s v="Furniture"/>
    <n v="2"/>
    <n v="5000"/>
    <n v="6500"/>
    <n v="1102"/>
    <n v="11898"/>
  </r>
  <r>
    <n v="1303"/>
    <x v="110"/>
    <x v="3"/>
    <x v="3"/>
    <x v="10"/>
    <s v="Furniture"/>
    <n v="1"/>
    <n v="2000"/>
    <n v="2500"/>
    <n v="1298"/>
    <n v="1202"/>
  </r>
  <r>
    <n v="1304"/>
    <x v="112"/>
    <x v="2"/>
    <x v="5"/>
    <x v="7"/>
    <s v="Furniture"/>
    <n v="3"/>
    <n v="4000"/>
    <n v="5500"/>
    <n v="541"/>
    <n v="15959"/>
  </r>
  <r>
    <n v="1305"/>
    <x v="146"/>
    <x v="0"/>
    <x v="1"/>
    <x v="5"/>
    <s v="Electronics"/>
    <n v="5"/>
    <n v="15000"/>
    <n v="18000"/>
    <n v="367"/>
    <n v="89633"/>
  </r>
  <r>
    <n v="1306"/>
    <x v="147"/>
    <x v="3"/>
    <x v="2"/>
    <x v="3"/>
    <s v="Electronics"/>
    <n v="6"/>
    <n v="300"/>
    <n v="600"/>
    <n v="1869"/>
    <n v="1731"/>
  </r>
  <r>
    <n v="1307"/>
    <x v="97"/>
    <x v="0"/>
    <x v="3"/>
    <x v="9"/>
    <s v="Furniture"/>
    <n v="6"/>
    <n v="20000"/>
    <n v="25000"/>
    <n v="1618"/>
    <n v="148382"/>
  </r>
  <r>
    <n v="1308"/>
    <x v="80"/>
    <x v="0"/>
    <x v="4"/>
    <x v="2"/>
    <s v="Electronics"/>
    <n v="3"/>
    <n v="40000"/>
    <n v="45000"/>
    <n v="1486"/>
    <n v="133514"/>
  </r>
  <r>
    <n v="1309"/>
    <x v="123"/>
    <x v="1"/>
    <x v="3"/>
    <x v="3"/>
    <s v="Electronics"/>
    <n v="4"/>
    <n v="300"/>
    <n v="600"/>
    <n v="869"/>
    <n v="1531"/>
  </r>
  <r>
    <n v="1310"/>
    <x v="15"/>
    <x v="1"/>
    <x v="5"/>
    <x v="3"/>
    <s v="Electronics"/>
    <n v="5"/>
    <n v="300"/>
    <n v="600"/>
    <n v="1211"/>
    <n v="1789"/>
  </r>
  <r>
    <n v="1311"/>
    <x v="148"/>
    <x v="1"/>
    <x v="0"/>
    <x v="3"/>
    <s v="Electronics"/>
    <n v="5"/>
    <n v="300"/>
    <n v="600"/>
    <n v="302"/>
    <n v="2698"/>
  </r>
  <r>
    <n v="1312"/>
    <x v="84"/>
    <x v="0"/>
    <x v="1"/>
    <x v="10"/>
    <s v="Furniture"/>
    <n v="6"/>
    <n v="2000"/>
    <n v="2500"/>
    <n v="217"/>
    <n v="14783"/>
  </r>
  <r>
    <n v="1313"/>
    <x v="114"/>
    <x v="1"/>
    <x v="3"/>
    <x v="1"/>
    <s v="Electronics"/>
    <n v="4"/>
    <n v="8000"/>
    <n v="9500"/>
    <n v="761"/>
    <n v="37239"/>
  </r>
  <r>
    <n v="1314"/>
    <x v="0"/>
    <x v="1"/>
    <x v="4"/>
    <x v="0"/>
    <s v="Electronics"/>
    <n v="5"/>
    <n v="500"/>
    <n v="800"/>
    <n v="1427"/>
    <n v="2573"/>
  </r>
  <r>
    <n v="1315"/>
    <x v="129"/>
    <x v="3"/>
    <x v="0"/>
    <x v="9"/>
    <s v="Furniture"/>
    <n v="5"/>
    <n v="20000"/>
    <n v="25000"/>
    <n v="677"/>
    <n v="124323"/>
  </r>
  <r>
    <n v="1316"/>
    <x v="6"/>
    <x v="2"/>
    <x v="1"/>
    <x v="2"/>
    <s v="Electronics"/>
    <n v="6"/>
    <n v="40000"/>
    <n v="45000"/>
    <n v="110"/>
    <n v="269890"/>
  </r>
  <r>
    <n v="1317"/>
    <x v="30"/>
    <x v="2"/>
    <x v="5"/>
    <x v="5"/>
    <s v="Electronics"/>
    <n v="2"/>
    <n v="15000"/>
    <n v="18000"/>
    <n v="1545"/>
    <n v="34455"/>
  </r>
  <r>
    <n v="1318"/>
    <x v="100"/>
    <x v="1"/>
    <x v="1"/>
    <x v="5"/>
    <s v="Electronics"/>
    <n v="6"/>
    <n v="15000"/>
    <n v="18000"/>
    <n v="1969"/>
    <n v="106031"/>
  </r>
  <r>
    <n v="1319"/>
    <x v="149"/>
    <x v="0"/>
    <x v="4"/>
    <x v="4"/>
    <s v="Electronics"/>
    <n v="6"/>
    <n v="7000"/>
    <n v="9000"/>
    <n v="841"/>
    <n v="53159"/>
  </r>
  <r>
    <n v="1320"/>
    <x v="108"/>
    <x v="0"/>
    <x v="5"/>
    <x v="10"/>
    <s v="Furniture"/>
    <n v="6"/>
    <n v="2000"/>
    <n v="2500"/>
    <n v="655"/>
    <n v="14345"/>
  </r>
  <r>
    <n v="1321"/>
    <x v="60"/>
    <x v="3"/>
    <x v="2"/>
    <x v="8"/>
    <s v="Electronics"/>
    <n v="3"/>
    <n v="1000"/>
    <n v="1500"/>
    <n v="29"/>
    <n v="4471"/>
  </r>
  <r>
    <n v="1322"/>
    <x v="50"/>
    <x v="3"/>
    <x v="5"/>
    <x v="1"/>
    <s v="Electronics"/>
    <n v="5"/>
    <n v="8000"/>
    <n v="9500"/>
    <n v="1960"/>
    <n v="45540"/>
  </r>
  <r>
    <n v="1323"/>
    <x v="125"/>
    <x v="2"/>
    <x v="1"/>
    <x v="4"/>
    <s v="Electronics"/>
    <n v="1"/>
    <n v="7000"/>
    <n v="9000"/>
    <n v="1175"/>
    <n v="7825"/>
  </r>
  <r>
    <n v="1324"/>
    <x v="79"/>
    <x v="0"/>
    <x v="4"/>
    <x v="6"/>
    <s v="Furniture"/>
    <n v="4"/>
    <n v="5000"/>
    <n v="6500"/>
    <n v="1763"/>
    <n v="24237"/>
  </r>
  <r>
    <n v="1325"/>
    <x v="131"/>
    <x v="3"/>
    <x v="5"/>
    <x v="1"/>
    <s v="Electronics"/>
    <n v="5"/>
    <n v="8000"/>
    <n v="9500"/>
    <n v="1055"/>
    <n v="46445"/>
  </r>
  <r>
    <n v="1326"/>
    <x v="70"/>
    <x v="3"/>
    <x v="5"/>
    <x v="8"/>
    <s v="Electronics"/>
    <n v="5"/>
    <n v="1000"/>
    <n v="1500"/>
    <n v="1346"/>
    <n v="6154"/>
  </r>
  <r>
    <n v="1327"/>
    <x v="26"/>
    <x v="3"/>
    <x v="2"/>
    <x v="1"/>
    <s v="Electronics"/>
    <n v="2"/>
    <n v="8000"/>
    <n v="9500"/>
    <n v="1595"/>
    <n v="17405"/>
  </r>
  <r>
    <n v="1328"/>
    <x v="107"/>
    <x v="1"/>
    <x v="4"/>
    <x v="4"/>
    <s v="Electronics"/>
    <n v="4"/>
    <n v="7000"/>
    <n v="9000"/>
    <n v="671"/>
    <n v="35329"/>
  </r>
  <r>
    <n v="1329"/>
    <x v="149"/>
    <x v="2"/>
    <x v="4"/>
    <x v="7"/>
    <s v="Furniture"/>
    <n v="4"/>
    <n v="4000"/>
    <n v="5500"/>
    <n v="1374"/>
    <n v="20626"/>
  </r>
  <r>
    <n v="1330"/>
    <x v="59"/>
    <x v="0"/>
    <x v="2"/>
    <x v="4"/>
    <s v="Electronics"/>
    <n v="5"/>
    <n v="7000"/>
    <n v="9000"/>
    <n v="1122"/>
    <n v="43878"/>
  </r>
  <r>
    <n v="1331"/>
    <x v="44"/>
    <x v="0"/>
    <x v="0"/>
    <x v="5"/>
    <s v="Electronics"/>
    <n v="5"/>
    <n v="15000"/>
    <n v="18000"/>
    <n v="1433"/>
    <n v="88567"/>
  </r>
  <r>
    <n v="1332"/>
    <x v="69"/>
    <x v="3"/>
    <x v="5"/>
    <x v="3"/>
    <s v="Electronics"/>
    <n v="6"/>
    <n v="300"/>
    <n v="600"/>
    <n v="889"/>
    <n v="2711"/>
  </r>
  <r>
    <n v="1333"/>
    <x v="129"/>
    <x v="2"/>
    <x v="5"/>
    <x v="4"/>
    <s v="Electronics"/>
    <n v="3"/>
    <n v="7000"/>
    <n v="9000"/>
    <n v="1139"/>
    <n v="25861"/>
  </r>
  <r>
    <n v="1334"/>
    <x v="100"/>
    <x v="1"/>
    <x v="3"/>
    <x v="4"/>
    <s v="Electronics"/>
    <n v="3"/>
    <n v="7000"/>
    <n v="9000"/>
    <n v="772"/>
    <n v="26228"/>
  </r>
  <r>
    <n v="1335"/>
    <x v="76"/>
    <x v="1"/>
    <x v="1"/>
    <x v="4"/>
    <s v="Electronics"/>
    <n v="1"/>
    <n v="7000"/>
    <n v="9000"/>
    <n v="514"/>
    <n v="8486"/>
  </r>
  <r>
    <n v="1336"/>
    <x v="74"/>
    <x v="0"/>
    <x v="4"/>
    <x v="3"/>
    <s v="Electronics"/>
    <n v="6"/>
    <n v="300"/>
    <n v="600"/>
    <n v="1171"/>
    <n v="2429"/>
  </r>
  <r>
    <n v="1337"/>
    <x v="150"/>
    <x v="0"/>
    <x v="3"/>
    <x v="6"/>
    <s v="Furniture"/>
    <n v="1"/>
    <n v="5000"/>
    <n v="6500"/>
    <n v="675"/>
    <n v="5825"/>
  </r>
  <r>
    <n v="1338"/>
    <x v="144"/>
    <x v="3"/>
    <x v="2"/>
    <x v="7"/>
    <s v="Furniture"/>
    <n v="5"/>
    <n v="4000"/>
    <n v="5500"/>
    <n v="1929"/>
    <n v="25571"/>
  </r>
  <r>
    <n v="1339"/>
    <x v="0"/>
    <x v="3"/>
    <x v="5"/>
    <x v="9"/>
    <s v="Furniture"/>
    <n v="4"/>
    <n v="20000"/>
    <n v="25000"/>
    <n v="693"/>
    <n v="99307"/>
  </r>
  <r>
    <n v="1340"/>
    <x v="41"/>
    <x v="0"/>
    <x v="3"/>
    <x v="8"/>
    <s v="Electronics"/>
    <n v="2"/>
    <n v="1000"/>
    <n v="1500"/>
    <n v="611"/>
    <n v="2389"/>
  </r>
  <r>
    <n v="1341"/>
    <x v="73"/>
    <x v="0"/>
    <x v="5"/>
    <x v="3"/>
    <s v="Electronics"/>
    <n v="1"/>
    <n v="300"/>
    <n v="600"/>
    <n v="1200"/>
    <n v="-600"/>
  </r>
  <r>
    <n v="1342"/>
    <x v="81"/>
    <x v="2"/>
    <x v="0"/>
    <x v="5"/>
    <s v="Electronics"/>
    <n v="5"/>
    <n v="15000"/>
    <n v="18000"/>
    <n v="1916"/>
    <n v="88084"/>
  </r>
  <r>
    <n v="1343"/>
    <x v="49"/>
    <x v="3"/>
    <x v="2"/>
    <x v="10"/>
    <s v="Furniture"/>
    <n v="1"/>
    <n v="2000"/>
    <n v="2500"/>
    <n v="1127"/>
    <n v="1373"/>
  </r>
  <r>
    <n v="1344"/>
    <x v="46"/>
    <x v="2"/>
    <x v="5"/>
    <x v="1"/>
    <s v="Electronics"/>
    <n v="1"/>
    <n v="8000"/>
    <n v="9500"/>
    <n v="387"/>
    <n v="9113"/>
  </r>
  <r>
    <n v="1345"/>
    <x v="115"/>
    <x v="0"/>
    <x v="3"/>
    <x v="10"/>
    <s v="Furniture"/>
    <n v="2"/>
    <n v="2000"/>
    <n v="2500"/>
    <n v="1628"/>
    <n v="3372"/>
  </r>
  <r>
    <n v="1346"/>
    <x v="41"/>
    <x v="0"/>
    <x v="0"/>
    <x v="8"/>
    <s v="Electronics"/>
    <n v="6"/>
    <n v="1000"/>
    <n v="1500"/>
    <n v="1746"/>
    <n v="7254"/>
  </r>
  <r>
    <n v="1347"/>
    <x v="9"/>
    <x v="0"/>
    <x v="5"/>
    <x v="10"/>
    <s v="Furniture"/>
    <n v="1"/>
    <n v="2000"/>
    <n v="2500"/>
    <n v="469"/>
    <n v="2031"/>
  </r>
  <r>
    <n v="1348"/>
    <x v="42"/>
    <x v="0"/>
    <x v="2"/>
    <x v="5"/>
    <s v="Electronics"/>
    <n v="4"/>
    <n v="15000"/>
    <n v="18000"/>
    <n v="362"/>
    <n v="71638"/>
  </r>
  <r>
    <n v="1349"/>
    <x v="125"/>
    <x v="1"/>
    <x v="3"/>
    <x v="9"/>
    <s v="Furniture"/>
    <n v="1"/>
    <n v="20000"/>
    <n v="25000"/>
    <n v="1087"/>
    <n v="23913"/>
  </r>
  <r>
    <n v="1350"/>
    <x v="133"/>
    <x v="2"/>
    <x v="5"/>
    <x v="1"/>
    <s v="Electronics"/>
    <n v="1"/>
    <n v="8000"/>
    <n v="9500"/>
    <n v="451"/>
    <n v="9049"/>
  </r>
  <r>
    <n v="1351"/>
    <x v="48"/>
    <x v="1"/>
    <x v="2"/>
    <x v="9"/>
    <s v="Furniture"/>
    <n v="6"/>
    <n v="20000"/>
    <n v="25000"/>
    <n v="948"/>
    <n v="149052"/>
  </r>
  <r>
    <n v="1352"/>
    <x v="150"/>
    <x v="2"/>
    <x v="1"/>
    <x v="5"/>
    <s v="Electronics"/>
    <n v="5"/>
    <n v="15000"/>
    <n v="18000"/>
    <n v="1603"/>
    <n v="88397"/>
  </r>
  <r>
    <n v="1353"/>
    <x v="74"/>
    <x v="1"/>
    <x v="3"/>
    <x v="5"/>
    <s v="Electronics"/>
    <n v="2"/>
    <n v="15000"/>
    <n v="18000"/>
    <n v="122"/>
    <n v="35878"/>
  </r>
  <r>
    <n v="1354"/>
    <x v="69"/>
    <x v="0"/>
    <x v="4"/>
    <x v="10"/>
    <s v="Furniture"/>
    <n v="1"/>
    <n v="2000"/>
    <n v="2500"/>
    <n v="1617"/>
    <n v="883"/>
  </r>
  <r>
    <n v="1355"/>
    <x v="135"/>
    <x v="1"/>
    <x v="1"/>
    <x v="9"/>
    <s v="Furniture"/>
    <n v="4"/>
    <n v="20000"/>
    <n v="25000"/>
    <n v="1498"/>
    <n v="98502"/>
  </r>
  <r>
    <n v="1356"/>
    <x v="77"/>
    <x v="3"/>
    <x v="3"/>
    <x v="1"/>
    <s v="Electronics"/>
    <n v="4"/>
    <n v="8000"/>
    <n v="9500"/>
    <n v="1933"/>
    <n v="36067"/>
  </r>
  <r>
    <n v="1357"/>
    <x v="56"/>
    <x v="2"/>
    <x v="3"/>
    <x v="1"/>
    <s v="Electronics"/>
    <n v="4"/>
    <n v="8000"/>
    <n v="9500"/>
    <n v="1822"/>
    <n v="36178"/>
  </r>
  <r>
    <n v="1358"/>
    <x v="124"/>
    <x v="2"/>
    <x v="4"/>
    <x v="3"/>
    <s v="Electronics"/>
    <n v="3"/>
    <n v="300"/>
    <n v="600"/>
    <n v="1113"/>
    <n v="687"/>
  </r>
  <r>
    <n v="1359"/>
    <x v="63"/>
    <x v="1"/>
    <x v="0"/>
    <x v="2"/>
    <s v="Electronics"/>
    <n v="6"/>
    <n v="40000"/>
    <n v="45000"/>
    <n v="610"/>
    <n v="269390"/>
  </r>
  <r>
    <n v="1360"/>
    <x v="117"/>
    <x v="3"/>
    <x v="3"/>
    <x v="10"/>
    <s v="Furniture"/>
    <n v="4"/>
    <n v="2000"/>
    <n v="2500"/>
    <n v="417"/>
    <n v="9583"/>
  </r>
  <r>
    <n v="1361"/>
    <x v="27"/>
    <x v="2"/>
    <x v="5"/>
    <x v="5"/>
    <s v="Electronics"/>
    <n v="5"/>
    <n v="15000"/>
    <n v="18000"/>
    <n v="1843"/>
    <n v="88157"/>
  </r>
  <r>
    <n v="1362"/>
    <x v="89"/>
    <x v="1"/>
    <x v="1"/>
    <x v="4"/>
    <s v="Electronics"/>
    <n v="2"/>
    <n v="7000"/>
    <n v="9000"/>
    <n v="255"/>
    <n v="17745"/>
  </r>
  <r>
    <n v="1363"/>
    <x v="27"/>
    <x v="0"/>
    <x v="0"/>
    <x v="2"/>
    <s v="Electronics"/>
    <n v="1"/>
    <n v="40000"/>
    <n v="45000"/>
    <n v="1839"/>
    <n v="43161"/>
  </r>
  <r>
    <n v="1364"/>
    <x v="73"/>
    <x v="0"/>
    <x v="1"/>
    <x v="8"/>
    <s v="Electronics"/>
    <n v="6"/>
    <n v="1000"/>
    <n v="1500"/>
    <n v="1912"/>
    <n v="7088"/>
  </r>
  <r>
    <n v="1365"/>
    <x v="119"/>
    <x v="1"/>
    <x v="0"/>
    <x v="9"/>
    <s v="Furniture"/>
    <n v="2"/>
    <n v="20000"/>
    <n v="25000"/>
    <n v="1664"/>
    <n v="48336"/>
  </r>
  <r>
    <n v="1366"/>
    <x v="40"/>
    <x v="0"/>
    <x v="0"/>
    <x v="6"/>
    <s v="Furniture"/>
    <n v="3"/>
    <n v="5000"/>
    <n v="6500"/>
    <n v="329"/>
    <n v="19171"/>
  </r>
  <r>
    <n v="1367"/>
    <x v="121"/>
    <x v="2"/>
    <x v="0"/>
    <x v="4"/>
    <s v="Electronics"/>
    <n v="4"/>
    <n v="7000"/>
    <n v="9000"/>
    <n v="1926"/>
    <n v="34074"/>
  </r>
  <r>
    <n v="1368"/>
    <x v="151"/>
    <x v="0"/>
    <x v="2"/>
    <x v="10"/>
    <s v="Furniture"/>
    <n v="1"/>
    <n v="2000"/>
    <n v="2500"/>
    <n v="1797"/>
    <n v="703"/>
  </r>
  <r>
    <n v="1369"/>
    <x v="1"/>
    <x v="2"/>
    <x v="1"/>
    <x v="10"/>
    <s v="Furniture"/>
    <n v="2"/>
    <n v="2000"/>
    <n v="2500"/>
    <n v="72"/>
    <n v="4928"/>
  </r>
  <r>
    <n v="1370"/>
    <x v="128"/>
    <x v="1"/>
    <x v="1"/>
    <x v="8"/>
    <s v="Electronics"/>
    <n v="1"/>
    <n v="1000"/>
    <n v="1500"/>
    <n v="1503"/>
    <n v="-3"/>
  </r>
  <r>
    <n v="1371"/>
    <x v="150"/>
    <x v="3"/>
    <x v="3"/>
    <x v="2"/>
    <s v="Electronics"/>
    <n v="2"/>
    <n v="40000"/>
    <n v="45000"/>
    <n v="378"/>
    <n v="89622"/>
  </r>
  <r>
    <n v="1372"/>
    <x v="24"/>
    <x v="2"/>
    <x v="3"/>
    <x v="6"/>
    <s v="Furniture"/>
    <n v="2"/>
    <n v="5000"/>
    <n v="6500"/>
    <n v="126"/>
    <n v="12874"/>
  </r>
  <r>
    <n v="1373"/>
    <x v="152"/>
    <x v="2"/>
    <x v="0"/>
    <x v="8"/>
    <s v="Electronics"/>
    <n v="5"/>
    <n v="1000"/>
    <n v="1500"/>
    <n v="1141"/>
    <n v="6359"/>
  </r>
  <r>
    <n v="1374"/>
    <x v="119"/>
    <x v="0"/>
    <x v="2"/>
    <x v="6"/>
    <s v="Furniture"/>
    <n v="5"/>
    <n v="5000"/>
    <n v="6500"/>
    <n v="1505"/>
    <n v="30995"/>
  </r>
  <r>
    <n v="1375"/>
    <x v="30"/>
    <x v="0"/>
    <x v="0"/>
    <x v="10"/>
    <s v="Furniture"/>
    <n v="5"/>
    <n v="2000"/>
    <n v="2500"/>
    <n v="625"/>
    <n v="11875"/>
  </r>
  <r>
    <n v="1376"/>
    <x v="96"/>
    <x v="0"/>
    <x v="1"/>
    <x v="4"/>
    <s v="Electronics"/>
    <n v="2"/>
    <n v="7000"/>
    <n v="9000"/>
    <n v="30"/>
    <n v="17970"/>
  </r>
  <r>
    <n v="1377"/>
    <x v="153"/>
    <x v="0"/>
    <x v="2"/>
    <x v="6"/>
    <s v="Furniture"/>
    <n v="2"/>
    <n v="5000"/>
    <n v="6500"/>
    <n v="1624"/>
    <n v="11376"/>
  </r>
  <r>
    <n v="1378"/>
    <x v="150"/>
    <x v="3"/>
    <x v="5"/>
    <x v="5"/>
    <s v="Electronics"/>
    <n v="1"/>
    <n v="15000"/>
    <n v="18000"/>
    <n v="1798"/>
    <n v="16202"/>
  </r>
  <r>
    <n v="1379"/>
    <x v="154"/>
    <x v="3"/>
    <x v="0"/>
    <x v="0"/>
    <s v="Electronics"/>
    <n v="6"/>
    <n v="500"/>
    <n v="800"/>
    <n v="560"/>
    <n v="4240"/>
  </r>
  <r>
    <n v="1380"/>
    <x v="67"/>
    <x v="0"/>
    <x v="4"/>
    <x v="2"/>
    <s v="Electronics"/>
    <n v="4"/>
    <n v="40000"/>
    <n v="45000"/>
    <n v="759"/>
    <n v="179241"/>
  </r>
  <r>
    <n v="1381"/>
    <x v="155"/>
    <x v="2"/>
    <x v="5"/>
    <x v="7"/>
    <s v="Furniture"/>
    <n v="2"/>
    <n v="4000"/>
    <n v="5500"/>
    <n v="738"/>
    <n v="10262"/>
  </r>
  <r>
    <n v="1382"/>
    <x v="36"/>
    <x v="1"/>
    <x v="4"/>
    <x v="9"/>
    <s v="Furniture"/>
    <n v="1"/>
    <n v="20000"/>
    <n v="25000"/>
    <n v="1019"/>
    <n v="23981"/>
  </r>
  <r>
    <n v="1383"/>
    <x v="69"/>
    <x v="3"/>
    <x v="2"/>
    <x v="2"/>
    <s v="Electronics"/>
    <n v="4"/>
    <n v="40000"/>
    <n v="45000"/>
    <n v="122"/>
    <n v="179878"/>
  </r>
  <r>
    <n v="1384"/>
    <x v="13"/>
    <x v="1"/>
    <x v="2"/>
    <x v="1"/>
    <s v="Electronics"/>
    <n v="5"/>
    <n v="8000"/>
    <n v="9500"/>
    <n v="1707"/>
    <n v="45793"/>
  </r>
  <r>
    <n v="1385"/>
    <x v="7"/>
    <x v="3"/>
    <x v="3"/>
    <x v="9"/>
    <s v="Furniture"/>
    <n v="4"/>
    <n v="20000"/>
    <n v="25000"/>
    <n v="1197"/>
    <n v="98803"/>
  </r>
  <r>
    <n v="1386"/>
    <x v="156"/>
    <x v="1"/>
    <x v="1"/>
    <x v="3"/>
    <s v="Electronics"/>
    <n v="5"/>
    <n v="300"/>
    <n v="600"/>
    <n v="1883"/>
    <n v="1117"/>
  </r>
  <r>
    <n v="1387"/>
    <x v="54"/>
    <x v="0"/>
    <x v="0"/>
    <x v="1"/>
    <s v="Electronics"/>
    <n v="4"/>
    <n v="8000"/>
    <n v="9500"/>
    <n v="1194"/>
    <n v="36806"/>
  </r>
  <r>
    <n v="1388"/>
    <x v="133"/>
    <x v="3"/>
    <x v="3"/>
    <x v="6"/>
    <s v="Furniture"/>
    <n v="3"/>
    <n v="5000"/>
    <n v="6500"/>
    <n v="1378"/>
    <n v="18122"/>
  </r>
  <r>
    <n v="1389"/>
    <x v="100"/>
    <x v="3"/>
    <x v="2"/>
    <x v="8"/>
    <s v="Electronics"/>
    <n v="5"/>
    <n v="1000"/>
    <n v="1500"/>
    <n v="1654"/>
    <n v="5846"/>
  </r>
  <r>
    <n v="1390"/>
    <x v="1"/>
    <x v="0"/>
    <x v="4"/>
    <x v="8"/>
    <s v="Electronics"/>
    <n v="3"/>
    <n v="1000"/>
    <n v="1500"/>
    <n v="510"/>
    <n v="3990"/>
  </r>
  <r>
    <n v="1391"/>
    <x v="30"/>
    <x v="0"/>
    <x v="0"/>
    <x v="2"/>
    <s v="Electronics"/>
    <n v="1"/>
    <n v="40000"/>
    <n v="45000"/>
    <n v="1705"/>
    <n v="43295"/>
  </r>
  <r>
    <n v="1392"/>
    <x v="108"/>
    <x v="3"/>
    <x v="5"/>
    <x v="1"/>
    <s v="Electronics"/>
    <n v="5"/>
    <n v="8000"/>
    <n v="9500"/>
    <n v="361"/>
    <n v="47139"/>
  </r>
  <r>
    <n v="1393"/>
    <x v="32"/>
    <x v="0"/>
    <x v="5"/>
    <x v="2"/>
    <s v="Electronics"/>
    <n v="5"/>
    <n v="40000"/>
    <n v="45000"/>
    <n v="1279"/>
    <n v="223721"/>
  </r>
  <r>
    <n v="1394"/>
    <x v="17"/>
    <x v="3"/>
    <x v="4"/>
    <x v="4"/>
    <s v="Electronics"/>
    <n v="6"/>
    <n v="7000"/>
    <n v="9000"/>
    <n v="233"/>
    <n v="53767"/>
  </r>
  <r>
    <n v="1395"/>
    <x v="102"/>
    <x v="3"/>
    <x v="5"/>
    <x v="10"/>
    <s v="Furniture"/>
    <n v="1"/>
    <n v="2000"/>
    <n v="2500"/>
    <n v="1248"/>
    <n v="1252"/>
  </r>
  <r>
    <n v="1396"/>
    <x v="75"/>
    <x v="0"/>
    <x v="3"/>
    <x v="7"/>
    <s v="Furniture"/>
    <n v="6"/>
    <n v="4000"/>
    <n v="5500"/>
    <n v="659"/>
    <n v="32341"/>
  </r>
  <r>
    <n v="1397"/>
    <x v="88"/>
    <x v="0"/>
    <x v="0"/>
    <x v="5"/>
    <s v="Electronics"/>
    <n v="1"/>
    <n v="15000"/>
    <n v="18000"/>
    <n v="336"/>
    <n v="17664"/>
  </r>
  <r>
    <n v="1398"/>
    <x v="152"/>
    <x v="0"/>
    <x v="3"/>
    <x v="3"/>
    <s v="Electronics"/>
    <n v="2"/>
    <n v="300"/>
    <n v="600"/>
    <n v="200"/>
    <n v="1000"/>
  </r>
  <r>
    <n v="1399"/>
    <x v="125"/>
    <x v="2"/>
    <x v="1"/>
    <x v="6"/>
    <s v="Furniture"/>
    <n v="4"/>
    <n v="5000"/>
    <n v="6500"/>
    <n v="1329"/>
    <n v="24671"/>
  </r>
  <r>
    <n v="1400"/>
    <x v="121"/>
    <x v="0"/>
    <x v="2"/>
    <x v="7"/>
    <s v="Furniture"/>
    <n v="1"/>
    <n v="4000"/>
    <n v="5500"/>
    <n v="230"/>
    <n v="5270"/>
  </r>
  <r>
    <n v="1401"/>
    <x v="82"/>
    <x v="0"/>
    <x v="4"/>
    <x v="7"/>
    <s v="Furniture"/>
    <n v="1"/>
    <n v="4000"/>
    <n v="5500"/>
    <n v="1000"/>
    <n v="4500"/>
  </r>
  <r>
    <n v="1402"/>
    <x v="78"/>
    <x v="0"/>
    <x v="2"/>
    <x v="0"/>
    <s v="Electronics"/>
    <n v="5"/>
    <n v="500"/>
    <n v="800"/>
    <n v="851"/>
    <n v="3149"/>
  </r>
  <r>
    <n v="1403"/>
    <x v="63"/>
    <x v="3"/>
    <x v="4"/>
    <x v="9"/>
    <s v="Furniture"/>
    <n v="6"/>
    <n v="20000"/>
    <n v="25000"/>
    <n v="1484"/>
    <n v="148516"/>
  </r>
  <r>
    <n v="1404"/>
    <x v="157"/>
    <x v="3"/>
    <x v="1"/>
    <x v="3"/>
    <s v="Electronics"/>
    <n v="2"/>
    <n v="300"/>
    <n v="600"/>
    <n v="1544"/>
    <n v="-344"/>
  </r>
  <r>
    <n v="1405"/>
    <x v="33"/>
    <x v="3"/>
    <x v="1"/>
    <x v="1"/>
    <s v="Electronics"/>
    <n v="5"/>
    <n v="8000"/>
    <n v="9500"/>
    <n v="101"/>
    <n v="47399"/>
  </r>
  <r>
    <n v="1406"/>
    <x v="110"/>
    <x v="0"/>
    <x v="0"/>
    <x v="0"/>
    <s v="Electronics"/>
    <n v="4"/>
    <n v="500"/>
    <n v="800"/>
    <n v="1919"/>
    <n v="1281"/>
  </r>
  <r>
    <n v="1407"/>
    <x v="31"/>
    <x v="0"/>
    <x v="1"/>
    <x v="6"/>
    <s v="Furniture"/>
    <n v="6"/>
    <n v="5000"/>
    <n v="6500"/>
    <n v="1995"/>
    <n v="37005"/>
  </r>
  <r>
    <n v="1408"/>
    <x v="115"/>
    <x v="3"/>
    <x v="3"/>
    <x v="7"/>
    <s v="Furniture"/>
    <n v="3"/>
    <n v="4000"/>
    <n v="5500"/>
    <n v="1473"/>
    <n v="15027"/>
  </r>
  <r>
    <n v="1409"/>
    <x v="105"/>
    <x v="0"/>
    <x v="2"/>
    <x v="6"/>
    <s v="Furniture"/>
    <n v="1"/>
    <n v="5000"/>
    <n v="6500"/>
    <n v="1056"/>
    <n v="5444"/>
  </r>
  <r>
    <n v="1410"/>
    <x v="112"/>
    <x v="1"/>
    <x v="2"/>
    <x v="9"/>
    <s v="Furniture"/>
    <n v="5"/>
    <n v="20000"/>
    <n v="25000"/>
    <n v="516"/>
    <n v="124484"/>
  </r>
  <r>
    <n v="1411"/>
    <x v="109"/>
    <x v="0"/>
    <x v="0"/>
    <x v="2"/>
    <s v="Electronics"/>
    <n v="5"/>
    <n v="40000"/>
    <n v="45000"/>
    <n v="748"/>
    <n v="224252"/>
  </r>
  <r>
    <n v="1412"/>
    <x v="147"/>
    <x v="0"/>
    <x v="4"/>
    <x v="3"/>
    <s v="Electronics"/>
    <n v="5"/>
    <n v="300"/>
    <n v="600"/>
    <n v="382"/>
    <n v="2618"/>
  </r>
  <r>
    <n v="1413"/>
    <x v="26"/>
    <x v="0"/>
    <x v="5"/>
    <x v="9"/>
    <s v="Furniture"/>
    <n v="2"/>
    <n v="20000"/>
    <n v="25000"/>
    <n v="555"/>
    <n v="49445"/>
  </r>
  <r>
    <n v="1414"/>
    <x v="88"/>
    <x v="3"/>
    <x v="5"/>
    <x v="2"/>
    <s v="Electronics"/>
    <n v="1"/>
    <n v="40000"/>
    <n v="45000"/>
    <n v="1994"/>
    <n v="43006"/>
  </r>
  <r>
    <n v="1415"/>
    <x v="157"/>
    <x v="2"/>
    <x v="1"/>
    <x v="2"/>
    <s v="Electronics"/>
    <n v="3"/>
    <n v="40000"/>
    <n v="45000"/>
    <n v="1915"/>
    <n v="133085"/>
  </r>
  <r>
    <n v="1416"/>
    <x v="158"/>
    <x v="3"/>
    <x v="4"/>
    <x v="10"/>
    <s v="Furniture"/>
    <n v="5"/>
    <n v="2000"/>
    <n v="2500"/>
    <n v="928"/>
    <n v="11572"/>
  </r>
  <r>
    <n v="1417"/>
    <x v="29"/>
    <x v="1"/>
    <x v="5"/>
    <x v="10"/>
    <s v="Furniture"/>
    <n v="3"/>
    <n v="2000"/>
    <n v="2500"/>
    <n v="803"/>
    <n v="6697"/>
  </r>
  <r>
    <n v="1418"/>
    <x v="159"/>
    <x v="3"/>
    <x v="5"/>
    <x v="8"/>
    <s v="Electronics"/>
    <n v="3"/>
    <n v="1000"/>
    <n v="1500"/>
    <n v="569"/>
    <n v="3931"/>
  </r>
  <r>
    <n v="1419"/>
    <x v="108"/>
    <x v="0"/>
    <x v="1"/>
    <x v="5"/>
    <s v="Electronics"/>
    <n v="2"/>
    <n v="15000"/>
    <n v="18000"/>
    <n v="1308"/>
    <n v="34692"/>
  </r>
  <r>
    <n v="1420"/>
    <x v="25"/>
    <x v="3"/>
    <x v="4"/>
    <x v="2"/>
    <s v="Electronics"/>
    <n v="1"/>
    <n v="40000"/>
    <n v="45000"/>
    <n v="563"/>
    <n v="44437"/>
  </r>
  <r>
    <n v="1421"/>
    <x v="147"/>
    <x v="1"/>
    <x v="4"/>
    <x v="6"/>
    <s v="Furniture"/>
    <n v="5"/>
    <n v="5000"/>
    <n v="6500"/>
    <n v="1469"/>
    <n v="31031"/>
  </r>
  <r>
    <n v="1422"/>
    <x v="74"/>
    <x v="2"/>
    <x v="4"/>
    <x v="4"/>
    <s v="Electronics"/>
    <n v="1"/>
    <n v="7000"/>
    <n v="9000"/>
    <n v="1528"/>
    <n v="7472"/>
  </r>
  <r>
    <n v="1423"/>
    <x v="128"/>
    <x v="2"/>
    <x v="3"/>
    <x v="10"/>
    <s v="Furniture"/>
    <n v="5"/>
    <n v="2000"/>
    <n v="2500"/>
    <n v="38"/>
    <n v="12462"/>
  </r>
  <r>
    <n v="1424"/>
    <x v="64"/>
    <x v="0"/>
    <x v="4"/>
    <x v="2"/>
    <s v="Electronics"/>
    <n v="6"/>
    <n v="40000"/>
    <n v="45000"/>
    <n v="147"/>
    <n v="269853"/>
  </r>
  <r>
    <n v="1425"/>
    <x v="120"/>
    <x v="2"/>
    <x v="0"/>
    <x v="0"/>
    <s v="Electronics"/>
    <n v="5"/>
    <n v="500"/>
    <n v="800"/>
    <n v="1475"/>
    <n v="2525"/>
  </r>
  <r>
    <n v="1426"/>
    <x v="9"/>
    <x v="2"/>
    <x v="0"/>
    <x v="7"/>
    <s v="Furniture"/>
    <n v="5"/>
    <n v="4000"/>
    <n v="5500"/>
    <n v="547"/>
    <n v="26953"/>
  </r>
  <r>
    <n v="1427"/>
    <x v="58"/>
    <x v="2"/>
    <x v="2"/>
    <x v="3"/>
    <s v="Electronics"/>
    <n v="6"/>
    <n v="300"/>
    <n v="600"/>
    <n v="643"/>
    <n v="2957"/>
  </r>
  <r>
    <n v="1428"/>
    <x v="49"/>
    <x v="3"/>
    <x v="0"/>
    <x v="6"/>
    <s v="Furniture"/>
    <n v="5"/>
    <n v="5000"/>
    <n v="6500"/>
    <n v="426"/>
    <n v="32074"/>
  </r>
  <r>
    <n v="1429"/>
    <x v="31"/>
    <x v="1"/>
    <x v="1"/>
    <x v="7"/>
    <s v="Furniture"/>
    <n v="6"/>
    <n v="4000"/>
    <n v="5500"/>
    <n v="1743"/>
    <n v="31257"/>
  </r>
  <r>
    <n v="1430"/>
    <x v="76"/>
    <x v="1"/>
    <x v="0"/>
    <x v="3"/>
    <s v="Electronics"/>
    <n v="3"/>
    <n v="300"/>
    <n v="600"/>
    <n v="565"/>
    <n v="1235"/>
  </r>
  <r>
    <n v="1431"/>
    <x v="31"/>
    <x v="2"/>
    <x v="4"/>
    <x v="9"/>
    <s v="Furniture"/>
    <n v="2"/>
    <n v="20000"/>
    <n v="25000"/>
    <n v="1852"/>
    <n v="48148"/>
  </r>
  <r>
    <n v="1432"/>
    <x v="100"/>
    <x v="0"/>
    <x v="1"/>
    <x v="9"/>
    <s v="Furniture"/>
    <n v="6"/>
    <n v="20000"/>
    <n v="25000"/>
    <n v="1468"/>
    <n v="148532"/>
  </r>
  <r>
    <n v="1433"/>
    <x v="103"/>
    <x v="3"/>
    <x v="3"/>
    <x v="0"/>
    <s v="Electronics"/>
    <n v="5"/>
    <n v="500"/>
    <n v="800"/>
    <n v="1394"/>
    <n v="2606"/>
  </r>
  <r>
    <n v="1434"/>
    <x v="118"/>
    <x v="0"/>
    <x v="5"/>
    <x v="3"/>
    <s v="Electronics"/>
    <n v="6"/>
    <n v="300"/>
    <n v="600"/>
    <n v="1151"/>
    <n v="2449"/>
  </r>
  <r>
    <n v="1435"/>
    <x v="2"/>
    <x v="1"/>
    <x v="4"/>
    <x v="4"/>
    <s v="Electronics"/>
    <n v="6"/>
    <n v="7000"/>
    <n v="9000"/>
    <n v="1461"/>
    <n v="52539"/>
  </r>
  <r>
    <n v="1436"/>
    <x v="152"/>
    <x v="3"/>
    <x v="2"/>
    <x v="5"/>
    <s v="Electronics"/>
    <n v="5"/>
    <n v="15000"/>
    <n v="18000"/>
    <n v="1780"/>
    <n v="88220"/>
  </r>
  <r>
    <n v="1437"/>
    <x v="158"/>
    <x v="2"/>
    <x v="1"/>
    <x v="2"/>
    <s v="Electronics"/>
    <n v="5"/>
    <n v="40000"/>
    <n v="45000"/>
    <n v="893"/>
    <n v="224107"/>
  </r>
  <r>
    <n v="1438"/>
    <x v="102"/>
    <x v="2"/>
    <x v="5"/>
    <x v="6"/>
    <s v="Furniture"/>
    <n v="4"/>
    <n v="5000"/>
    <n v="6500"/>
    <n v="1163"/>
    <n v="24837"/>
  </r>
  <r>
    <n v="1439"/>
    <x v="160"/>
    <x v="1"/>
    <x v="2"/>
    <x v="3"/>
    <s v="Electronics"/>
    <n v="4"/>
    <n v="300"/>
    <n v="600"/>
    <n v="1716"/>
    <n v="684"/>
  </r>
  <r>
    <n v="1440"/>
    <x v="28"/>
    <x v="3"/>
    <x v="3"/>
    <x v="0"/>
    <s v="Electronics"/>
    <n v="5"/>
    <n v="500"/>
    <n v="800"/>
    <n v="923"/>
    <n v="3077"/>
  </r>
  <r>
    <n v="1441"/>
    <x v="34"/>
    <x v="2"/>
    <x v="1"/>
    <x v="1"/>
    <s v="Electronics"/>
    <n v="2"/>
    <n v="8000"/>
    <n v="9500"/>
    <n v="542"/>
    <n v="18458"/>
  </r>
  <r>
    <n v="1442"/>
    <x v="84"/>
    <x v="3"/>
    <x v="1"/>
    <x v="6"/>
    <s v="Furniture"/>
    <n v="3"/>
    <n v="5000"/>
    <n v="6500"/>
    <n v="599"/>
    <n v="18901"/>
  </r>
  <r>
    <n v="1443"/>
    <x v="154"/>
    <x v="1"/>
    <x v="3"/>
    <x v="4"/>
    <s v="Electronics"/>
    <n v="4"/>
    <n v="7000"/>
    <n v="9000"/>
    <n v="567"/>
    <n v="35433"/>
  </r>
  <r>
    <n v="1444"/>
    <x v="25"/>
    <x v="0"/>
    <x v="2"/>
    <x v="3"/>
    <s v="Electronics"/>
    <n v="1"/>
    <n v="300"/>
    <n v="600"/>
    <n v="1481"/>
    <n v="-881"/>
  </r>
  <r>
    <n v="1445"/>
    <x v="53"/>
    <x v="1"/>
    <x v="4"/>
    <x v="7"/>
    <s v="Furniture"/>
    <n v="3"/>
    <n v="4000"/>
    <n v="5500"/>
    <n v="1920"/>
    <n v="14580"/>
  </r>
  <r>
    <n v="1446"/>
    <x v="40"/>
    <x v="3"/>
    <x v="5"/>
    <x v="0"/>
    <s v="Electronics"/>
    <n v="4"/>
    <n v="500"/>
    <n v="800"/>
    <n v="1324"/>
    <n v="1876"/>
  </r>
  <r>
    <n v="1447"/>
    <x v="45"/>
    <x v="1"/>
    <x v="3"/>
    <x v="5"/>
    <s v="Electronics"/>
    <n v="6"/>
    <n v="15000"/>
    <n v="18000"/>
    <n v="1333"/>
    <n v="106667"/>
  </r>
  <r>
    <n v="1448"/>
    <x v="28"/>
    <x v="1"/>
    <x v="4"/>
    <x v="0"/>
    <s v="Electronics"/>
    <n v="6"/>
    <n v="500"/>
    <n v="800"/>
    <n v="277"/>
    <n v="4523"/>
  </r>
  <r>
    <n v="1449"/>
    <x v="61"/>
    <x v="1"/>
    <x v="0"/>
    <x v="8"/>
    <s v="Electronics"/>
    <n v="1"/>
    <n v="1000"/>
    <n v="1500"/>
    <n v="1804"/>
    <n v="-304"/>
  </r>
  <r>
    <n v="1450"/>
    <x v="13"/>
    <x v="2"/>
    <x v="3"/>
    <x v="2"/>
    <s v="Electronics"/>
    <n v="3"/>
    <n v="40000"/>
    <n v="45000"/>
    <n v="1103"/>
    <n v="133897"/>
  </r>
  <r>
    <n v="1451"/>
    <x v="161"/>
    <x v="3"/>
    <x v="5"/>
    <x v="2"/>
    <s v="Electronics"/>
    <n v="4"/>
    <n v="40000"/>
    <n v="45000"/>
    <n v="295"/>
    <n v="179705"/>
  </r>
  <r>
    <n v="1452"/>
    <x v="4"/>
    <x v="0"/>
    <x v="1"/>
    <x v="2"/>
    <s v="Electronics"/>
    <n v="5"/>
    <n v="40000"/>
    <n v="45000"/>
    <n v="558"/>
    <n v="224442"/>
  </r>
  <r>
    <n v="1453"/>
    <x v="76"/>
    <x v="2"/>
    <x v="1"/>
    <x v="9"/>
    <s v="Furniture"/>
    <n v="4"/>
    <n v="20000"/>
    <n v="25000"/>
    <n v="973"/>
    <n v="99027"/>
  </r>
  <r>
    <n v="1454"/>
    <x v="61"/>
    <x v="3"/>
    <x v="1"/>
    <x v="5"/>
    <s v="Electronics"/>
    <n v="3"/>
    <n v="15000"/>
    <n v="18000"/>
    <n v="1480"/>
    <n v="52520"/>
  </r>
  <r>
    <n v="1455"/>
    <x v="159"/>
    <x v="0"/>
    <x v="0"/>
    <x v="8"/>
    <s v="Electronics"/>
    <n v="5"/>
    <n v="1000"/>
    <n v="1500"/>
    <n v="903"/>
    <n v="6597"/>
  </r>
  <r>
    <n v="1456"/>
    <x v="155"/>
    <x v="1"/>
    <x v="0"/>
    <x v="9"/>
    <s v="Furniture"/>
    <n v="1"/>
    <n v="20000"/>
    <n v="25000"/>
    <n v="249"/>
    <n v="24751"/>
  </r>
  <r>
    <n v="1457"/>
    <x v="148"/>
    <x v="1"/>
    <x v="2"/>
    <x v="3"/>
    <s v="Electronics"/>
    <n v="5"/>
    <n v="300"/>
    <n v="600"/>
    <n v="407"/>
    <n v="2593"/>
  </r>
  <r>
    <n v="1458"/>
    <x v="77"/>
    <x v="3"/>
    <x v="3"/>
    <x v="8"/>
    <s v="Electronics"/>
    <n v="4"/>
    <n v="1000"/>
    <n v="1500"/>
    <n v="1974"/>
    <n v="4026"/>
  </r>
  <r>
    <n v="1459"/>
    <x v="162"/>
    <x v="0"/>
    <x v="4"/>
    <x v="2"/>
    <s v="Electronics"/>
    <n v="5"/>
    <n v="40000"/>
    <n v="45000"/>
    <n v="1180"/>
    <n v="223820"/>
  </r>
  <r>
    <n v="1460"/>
    <x v="141"/>
    <x v="1"/>
    <x v="0"/>
    <x v="2"/>
    <s v="Electronics"/>
    <n v="2"/>
    <n v="40000"/>
    <n v="45000"/>
    <n v="1171"/>
    <n v="88829"/>
  </r>
  <r>
    <n v="1461"/>
    <x v="34"/>
    <x v="3"/>
    <x v="2"/>
    <x v="0"/>
    <s v="Electronics"/>
    <n v="2"/>
    <n v="500"/>
    <n v="800"/>
    <n v="1731"/>
    <n v="-131"/>
  </r>
  <r>
    <n v="1462"/>
    <x v="74"/>
    <x v="2"/>
    <x v="5"/>
    <x v="8"/>
    <s v="Electronics"/>
    <n v="6"/>
    <n v="1000"/>
    <n v="1500"/>
    <n v="1031"/>
    <n v="7969"/>
  </r>
  <r>
    <n v="1463"/>
    <x v="18"/>
    <x v="3"/>
    <x v="2"/>
    <x v="6"/>
    <s v="Furniture"/>
    <n v="5"/>
    <n v="5000"/>
    <n v="6500"/>
    <n v="1133"/>
    <n v="31367"/>
  </r>
  <r>
    <n v="1464"/>
    <x v="2"/>
    <x v="1"/>
    <x v="5"/>
    <x v="4"/>
    <s v="Electronics"/>
    <n v="3"/>
    <n v="7000"/>
    <n v="9000"/>
    <n v="1780"/>
    <n v="25220"/>
  </r>
  <r>
    <n v="1465"/>
    <x v="162"/>
    <x v="0"/>
    <x v="2"/>
    <x v="1"/>
    <s v="Electronics"/>
    <n v="4"/>
    <n v="8000"/>
    <n v="9500"/>
    <n v="984"/>
    <n v="37016"/>
  </r>
  <r>
    <n v="1466"/>
    <x v="6"/>
    <x v="2"/>
    <x v="5"/>
    <x v="3"/>
    <s v="Electronics"/>
    <n v="4"/>
    <n v="300"/>
    <n v="600"/>
    <n v="639"/>
    <n v="1761"/>
  </r>
  <r>
    <n v="1467"/>
    <x v="152"/>
    <x v="0"/>
    <x v="2"/>
    <x v="4"/>
    <s v="Electronics"/>
    <n v="5"/>
    <n v="7000"/>
    <n v="9000"/>
    <n v="356"/>
    <n v="44644"/>
  </r>
  <r>
    <n v="1468"/>
    <x v="35"/>
    <x v="2"/>
    <x v="5"/>
    <x v="7"/>
    <s v="Furniture"/>
    <n v="3"/>
    <n v="4000"/>
    <n v="5500"/>
    <n v="1230"/>
    <n v="15270"/>
  </r>
  <r>
    <n v="1469"/>
    <x v="86"/>
    <x v="1"/>
    <x v="2"/>
    <x v="3"/>
    <s v="Electronics"/>
    <n v="3"/>
    <n v="300"/>
    <n v="600"/>
    <n v="1487"/>
    <n v="313"/>
  </r>
  <r>
    <n v="1470"/>
    <x v="85"/>
    <x v="2"/>
    <x v="1"/>
    <x v="9"/>
    <s v="Furniture"/>
    <n v="1"/>
    <n v="20000"/>
    <n v="25000"/>
    <n v="972"/>
    <n v="24028"/>
  </r>
  <r>
    <n v="1471"/>
    <x v="153"/>
    <x v="3"/>
    <x v="3"/>
    <x v="8"/>
    <s v="Electronics"/>
    <n v="1"/>
    <n v="1000"/>
    <n v="1500"/>
    <n v="19"/>
    <n v="1481"/>
  </r>
  <r>
    <n v="1472"/>
    <x v="60"/>
    <x v="1"/>
    <x v="1"/>
    <x v="0"/>
    <s v="Electronics"/>
    <n v="1"/>
    <n v="500"/>
    <n v="800"/>
    <n v="1913"/>
    <n v="-1113"/>
  </r>
  <r>
    <n v="1473"/>
    <x v="98"/>
    <x v="0"/>
    <x v="4"/>
    <x v="7"/>
    <s v="Furniture"/>
    <n v="2"/>
    <n v="4000"/>
    <n v="5500"/>
    <n v="283"/>
    <n v="10717"/>
  </r>
  <r>
    <n v="1474"/>
    <x v="126"/>
    <x v="3"/>
    <x v="2"/>
    <x v="10"/>
    <s v="Furniture"/>
    <n v="2"/>
    <n v="2000"/>
    <n v="2500"/>
    <n v="428"/>
    <n v="4572"/>
  </r>
  <r>
    <n v="1475"/>
    <x v="70"/>
    <x v="0"/>
    <x v="1"/>
    <x v="4"/>
    <s v="Electronics"/>
    <n v="1"/>
    <n v="7000"/>
    <n v="9000"/>
    <n v="1473"/>
    <n v="7527"/>
  </r>
  <r>
    <n v="1476"/>
    <x v="163"/>
    <x v="3"/>
    <x v="3"/>
    <x v="4"/>
    <s v="Electronics"/>
    <n v="1"/>
    <n v="7000"/>
    <n v="9000"/>
    <n v="1136"/>
    <n v="7864"/>
  </r>
  <r>
    <n v="1477"/>
    <x v="164"/>
    <x v="3"/>
    <x v="4"/>
    <x v="1"/>
    <s v="Electronics"/>
    <n v="3"/>
    <n v="8000"/>
    <n v="9500"/>
    <n v="687"/>
    <n v="27813"/>
  </r>
  <r>
    <n v="1478"/>
    <x v="11"/>
    <x v="0"/>
    <x v="0"/>
    <x v="4"/>
    <s v="Electronics"/>
    <n v="6"/>
    <n v="7000"/>
    <n v="9000"/>
    <n v="1525"/>
    <n v="52475"/>
  </r>
  <r>
    <n v="1479"/>
    <x v="14"/>
    <x v="0"/>
    <x v="5"/>
    <x v="7"/>
    <s v="Furniture"/>
    <n v="2"/>
    <n v="4000"/>
    <n v="5500"/>
    <n v="1419"/>
    <n v="9581"/>
  </r>
  <r>
    <n v="1480"/>
    <x v="165"/>
    <x v="0"/>
    <x v="1"/>
    <x v="1"/>
    <s v="Electronics"/>
    <n v="5"/>
    <n v="8000"/>
    <n v="9500"/>
    <n v="1222"/>
    <n v="46278"/>
  </r>
  <r>
    <n v="1481"/>
    <x v="90"/>
    <x v="2"/>
    <x v="0"/>
    <x v="6"/>
    <s v="Furniture"/>
    <n v="1"/>
    <n v="5000"/>
    <n v="6500"/>
    <n v="30"/>
    <n v="6470"/>
  </r>
  <r>
    <n v="1482"/>
    <x v="160"/>
    <x v="0"/>
    <x v="3"/>
    <x v="4"/>
    <s v="Electronics"/>
    <n v="4"/>
    <n v="7000"/>
    <n v="9000"/>
    <n v="192"/>
    <n v="35808"/>
  </r>
  <r>
    <n v="1483"/>
    <x v="27"/>
    <x v="0"/>
    <x v="1"/>
    <x v="2"/>
    <s v="Electronics"/>
    <n v="3"/>
    <n v="40000"/>
    <n v="45000"/>
    <n v="648"/>
    <n v="134352"/>
  </r>
  <r>
    <n v="1484"/>
    <x v="156"/>
    <x v="1"/>
    <x v="3"/>
    <x v="10"/>
    <s v="Furniture"/>
    <n v="4"/>
    <n v="2000"/>
    <n v="2500"/>
    <n v="1873"/>
    <n v="8127"/>
  </r>
  <r>
    <n v="1485"/>
    <x v="38"/>
    <x v="0"/>
    <x v="5"/>
    <x v="9"/>
    <s v="Furniture"/>
    <n v="5"/>
    <n v="20000"/>
    <n v="25000"/>
    <n v="241"/>
    <n v="124759"/>
  </r>
  <r>
    <n v="1486"/>
    <x v="147"/>
    <x v="3"/>
    <x v="5"/>
    <x v="8"/>
    <s v="Electronics"/>
    <n v="1"/>
    <n v="1000"/>
    <n v="1500"/>
    <n v="321"/>
    <n v="1179"/>
  </r>
  <r>
    <n v="1487"/>
    <x v="96"/>
    <x v="2"/>
    <x v="4"/>
    <x v="7"/>
    <s v="Furniture"/>
    <n v="2"/>
    <n v="4000"/>
    <n v="5500"/>
    <n v="869"/>
    <n v="10131"/>
  </r>
  <r>
    <n v="1488"/>
    <x v="64"/>
    <x v="2"/>
    <x v="3"/>
    <x v="5"/>
    <s v="Electronics"/>
    <n v="3"/>
    <n v="15000"/>
    <n v="18000"/>
    <n v="1600"/>
    <n v="52400"/>
  </r>
  <r>
    <n v="1489"/>
    <x v="21"/>
    <x v="0"/>
    <x v="0"/>
    <x v="3"/>
    <s v="Electronics"/>
    <n v="6"/>
    <n v="300"/>
    <n v="600"/>
    <n v="503"/>
    <n v="3097"/>
  </r>
  <r>
    <n v="1490"/>
    <x v="149"/>
    <x v="3"/>
    <x v="0"/>
    <x v="8"/>
    <s v="Electronics"/>
    <n v="6"/>
    <n v="1000"/>
    <n v="1500"/>
    <n v="1641"/>
    <n v="7359"/>
  </r>
  <r>
    <n v="1491"/>
    <x v="122"/>
    <x v="3"/>
    <x v="3"/>
    <x v="7"/>
    <s v="Furniture"/>
    <n v="1"/>
    <n v="4000"/>
    <n v="5500"/>
    <n v="547"/>
    <n v="4953"/>
  </r>
  <r>
    <n v="1492"/>
    <x v="3"/>
    <x v="2"/>
    <x v="3"/>
    <x v="7"/>
    <s v="Furniture"/>
    <n v="2"/>
    <n v="4000"/>
    <n v="5500"/>
    <n v="1758"/>
    <n v="9242"/>
  </r>
  <r>
    <n v="1493"/>
    <x v="16"/>
    <x v="2"/>
    <x v="1"/>
    <x v="1"/>
    <s v="Electronics"/>
    <n v="6"/>
    <n v="8000"/>
    <n v="9500"/>
    <n v="183"/>
    <n v="56817"/>
  </r>
  <r>
    <n v="1494"/>
    <x v="161"/>
    <x v="2"/>
    <x v="3"/>
    <x v="4"/>
    <s v="Electronics"/>
    <n v="4"/>
    <n v="7000"/>
    <n v="9000"/>
    <n v="620"/>
    <n v="35380"/>
  </r>
  <r>
    <n v="1495"/>
    <x v="130"/>
    <x v="0"/>
    <x v="2"/>
    <x v="8"/>
    <s v="Electronics"/>
    <n v="1"/>
    <n v="1000"/>
    <n v="1500"/>
    <n v="1670"/>
    <n v="-170"/>
  </r>
  <r>
    <n v="1496"/>
    <x v="36"/>
    <x v="3"/>
    <x v="4"/>
    <x v="2"/>
    <s v="Electronics"/>
    <n v="4"/>
    <n v="40000"/>
    <n v="45000"/>
    <n v="839"/>
    <n v="179161"/>
  </r>
  <r>
    <n v="1497"/>
    <x v="139"/>
    <x v="1"/>
    <x v="4"/>
    <x v="2"/>
    <s v="Electronics"/>
    <n v="2"/>
    <n v="40000"/>
    <n v="45000"/>
    <n v="450"/>
    <n v="89550"/>
  </r>
  <r>
    <n v="1498"/>
    <x v="135"/>
    <x v="1"/>
    <x v="3"/>
    <x v="3"/>
    <s v="Electronics"/>
    <n v="1"/>
    <n v="300"/>
    <n v="600"/>
    <n v="444"/>
    <n v="156"/>
  </r>
  <r>
    <n v="1499"/>
    <x v="27"/>
    <x v="2"/>
    <x v="5"/>
    <x v="6"/>
    <s v="Furniture"/>
    <n v="3"/>
    <n v="5000"/>
    <n v="6500"/>
    <n v="90"/>
    <n v="19410"/>
  </r>
  <r>
    <n v="1500"/>
    <x v="86"/>
    <x v="1"/>
    <x v="5"/>
    <x v="9"/>
    <s v="Furniture"/>
    <n v="5"/>
    <n v="20000"/>
    <n v="25000"/>
    <n v="1524"/>
    <n v="1234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0432ED-BC37-4DD8-A670-35FAE993423D}" name="SALES OF PRODUC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0:H42" firstHeaderRow="1" firstDataRow="1" firstDataCol="1"/>
  <pivotFields count="12">
    <pivotField showAll="0"/>
    <pivotField numFmtId="14" showAll="0">
      <items count="167">
        <item x="129"/>
        <item x="101"/>
        <item x="154"/>
        <item x="90"/>
        <item x="105"/>
        <item x="26"/>
        <item x="161"/>
        <item x="8"/>
        <item x="53"/>
        <item x="70"/>
        <item x="57"/>
        <item x="82"/>
        <item x="160"/>
        <item x="40"/>
        <item x="89"/>
        <item x="1"/>
        <item x="146"/>
        <item x="142"/>
        <item x="138"/>
        <item x="60"/>
        <item x="93"/>
        <item x="65"/>
        <item x="137"/>
        <item x="2"/>
        <item x="91"/>
        <item x="96"/>
        <item x="79"/>
        <item x="73"/>
        <item x="69"/>
        <item x="135"/>
        <item x="44"/>
        <item x="112"/>
        <item x="102"/>
        <item x="72"/>
        <item x="58"/>
        <item x="133"/>
        <item x="148"/>
        <item x="61"/>
        <item x="62"/>
        <item x="126"/>
        <item x="19"/>
        <item x="13"/>
        <item x="77"/>
        <item x="43"/>
        <item x="64"/>
        <item x="163"/>
        <item x="104"/>
        <item x="156"/>
        <item x="28"/>
        <item x="9"/>
        <item x="134"/>
        <item x="50"/>
        <item x="38"/>
        <item x="75"/>
        <item x="35"/>
        <item x="52"/>
        <item x="103"/>
        <item x="25"/>
        <item x="51"/>
        <item x="3"/>
        <item x="139"/>
        <item x="31"/>
        <item x="55"/>
        <item x="114"/>
        <item x="68"/>
        <item x="34"/>
        <item x="119"/>
        <item x="4"/>
        <item x="81"/>
        <item x="56"/>
        <item x="92"/>
        <item x="165"/>
        <item x="14"/>
        <item x="21"/>
        <item x="59"/>
        <item x="47"/>
        <item x="15"/>
        <item x="98"/>
        <item x="16"/>
        <item x="54"/>
        <item x="132"/>
        <item x="110"/>
        <item x="95"/>
        <item x="107"/>
        <item x="108"/>
        <item x="48"/>
        <item x="39"/>
        <item x="71"/>
        <item x="164"/>
        <item x="123"/>
        <item x="106"/>
        <item x="12"/>
        <item x="76"/>
        <item x="11"/>
        <item x="117"/>
        <item x="121"/>
        <item x="78"/>
        <item x="122"/>
        <item x="0"/>
        <item x="118"/>
        <item x="32"/>
        <item x="116"/>
        <item x="87"/>
        <item x="159"/>
        <item x="124"/>
        <item x="66"/>
        <item x="36"/>
        <item x="113"/>
        <item x="99"/>
        <item x="84"/>
        <item x="7"/>
        <item x="97"/>
        <item x="109"/>
        <item x="41"/>
        <item x="115"/>
        <item x="30"/>
        <item x="80"/>
        <item x="42"/>
        <item x="152"/>
        <item x="24"/>
        <item x="27"/>
        <item x="158"/>
        <item x="46"/>
        <item x="147"/>
        <item x="18"/>
        <item x="20"/>
        <item x="67"/>
        <item x="100"/>
        <item x="145"/>
        <item x="157"/>
        <item x="37"/>
        <item x="140"/>
        <item x="127"/>
        <item x="45"/>
        <item x="150"/>
        <item x="94"/>
        <item x="86"/>
        <item x="83"/>
        <item x="33"/>
        <item x="131"/>
        <item x="5"/>
        <item x="6"/>
        <item x="141"/>
        <item x="63"/>
        <item x="155"/>
        <item x="162"/>
        <item x="23"/>
        <item x="111"/>
        <item x="17"/>
        <item x="143"/>
        <item x="125"/>
        <item x="128"/>
        <item x="74"/>
        <item x="22"/>
        <item x="130"/>
        <item x="10"/>
        <item x="149"/>
        <item x="151"/>
        <item x="144"/>
        <item x="29"/>
        <item x="120"/>
        <item x="49"/>
        <item x="136"/>
        <item x="88"/>
        <item x="85"/>
        <item x="153"/>
        <item t="default"/>
      </items>
    </pivotField>
    <pivotField showAll="0">
      <items count="5">
        <item x="3"/>
        <item x="0"/>
        <item x="2"/>
        <item x="1"/>
        <item t="default"/>
      </items>
    </pivotField>
    <pivotField showAll="0"/>
    <pivotField axis="axisRow" showAll="0">
      <items count="12">
        <item x="10"/>
        <item x="7"/>
        <item x="8"/>
        <item x="0"/>
        <item x="2"/>
        <item x="4"/>
        <item x="3"/>
        <item x="5"/>
        <item x="1"/>
        <item x="9"/>
        <item x="6"/>
        <item t="default"/>
      </items>
    </pivotField>
    <pivotField showAll="0"/>
    <pivotField dataField="1"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4"/>
  </rowFields>
  <rowItems count="12">
    <i>
      <x/>
    </i>
    <i>
      <x v="1"/>
    </i>
    <i>
      <x v="2"/>
    </i>
    <i>
      <x v="3"/>
    </i>
    <i>
      <x v="4"/>
    </i>
    <i>
      <x v="5"/>
    </i>
    <i>
      <x v="6"/>
    </i>
    <i>
      <x v="7"/>
    </i>
    <i>
      <x v="8"/>
    </i>
    <i>
      <x v="9"/>
    </i>
    <i>
      <x v="10"/>
    </i>
    <i t="grand">
      <x/>
    </i>
  </rowItems>
  <colItems count="1">
    <i/>
  </colItems>
  <dataFields count="1">
    <dataField name="Sum of Quantity" fld="6"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498F76-7AC2-4EE6-AB13-777DB0F812A5}" name="MONTHS1" cacheId="0" applyNumberFormats="0" applyBorderFormats="0" applyFontFormats="0" applyPatternFormats="0" applyAlignmentFormats="0" applyWidthHeightFormats="1" dataCaption="Values" updatedVersion="8" minRefreshableVersion="3" useAutoFormatting="1" itemPrintTitles="1" createdVersion="8" outline="1" outlineData="1" multipleFieldFilters="0">
  <location ref="A3:A10" firstHeaderRow="1" firstDataRow="1" firstDataCol="1"/>
  <pivotFields count="12">
    <pivotField showAll="0"/>
    <pivotField numFmtId="14" showAll="0">
      <items count="167">
        <item x="129"/>
        <item x="101"/>
        <item x="154"/>
        <item x="90"/>
        <item x="105"/>
        <item x="26"/>
        <item x="161"/>
        <item x="8"/>
        <item x="53"/>
        <item x="70"/>
        <item x="57"/>
        <item x="82"/>
        <item x="160"/>
        <item x="40"/>
        <item x="89"/>
        <item x="1"/>
        <item x="146"/>
        <item x="142"/>
        <item x="138"/>
        <item x="60"/>
        <item x="93"/>
        <item x="65"/>
        <item x="137"/>
        <item x="2"/>
        <item x="91"/>
        <item x="96"/>
        <item x="79"/>
        <item x="73"/>
        <item x="69"/>
        <item x="135"/>
        <item x="44"/>
        <item x="112"/>
        <item x="102"/>
        <item x="72"/>
        <item x="58"/>
        <item x="133"/>
        <item x="148"/>
        <item x="61"/>
        <item x="62"/>
        <item x="126"/>
        <item x="19"/>
        <item x="13"/>
        <item x="77"/>
        <item x="43"/>
        <item x="64"/>
        <item x="163"/>
        <item x="104"/>
        <item x="156"/>
        <item x="28"/>
        <item x="9"/>
        <item x="134"/>
        <item x="50"/>
        <item x="38"/>
        <item x="75"/>
        <item x="35"/>
        <item x="52"/>
        <item x="103"/>
        <item x="25"/>
        <item x="51"/>
        <item x="3"/>
        <item x="139"/>
        <item x="31"/>
        <item x="55"/>
        <item x="114"/>
        <item x="68"/>
        <item x="34"/>
        <item x="119"/>
        <item x="4"/>
        <item x="81"/>
        <item x="56"/>
        <item x="92"/>
        <item x="165"/>
        <item x="14"/>
        <item x="21"/>
        <item x="59"/>
        <item x="47"/>
        <item x="15"/>
        <item x="98"/>
        <item x="16"/>
        <item x="54"/>
        <item x="132"/>
        <item x="110"/>
        <item x="95"/>
        <item x="107"/>
        <item x="108"/>
        <item x="48"/>
        <item x="39"/>
        <item x="71"/>
        <item x="164"/>
        <item x="123"/>
        <item x="106"/>
        <item x="12"/>
        <item x="76"/>
        <item x="11"/>
        <item x="117"/>
        <item x="121"/>
        <item x="78"/>
        <item x="122"/>
        <item x="0"/>
        <item x="118"/>
        <item x="32"/>
        <item x="116"/>
        <item x="87"/>
        <item x="159"/>
        <item x="124"/>
        <item x="66"/>
        <item x="36"/>
        <item x="113"/>
        <item x="99"/>
        <item x="84"/>
        <item x="7"/>
        <item x="97"/>
        <item x="109"/>
        <item x="41"/>
        <item x="115"/>
        <item x="30"/>
        <item x="80"/>
        <item x="42"/>
        <item x="152"/>
        <item x="24"/>
        <item x="27"/>
        <item x="158"/>
        <item x="46"/>
        <item x="147"/>
        <item x="18"/>
        <item x="20"/>
        <item x="67"/>
        <item x="100"/>
        <item x="145"/>
        <item x="157"/>
        <item x="37"/>
        <item x="140"/>
        <item x="127"/>
        <item x="45"/>
        <item x="150"/>
        <item x="94"/>
        <item x="86"/>
        <item x="83"/>
        <item x="33"/>
        <item x="131"/>
        <item x="5"/>
        <item x="6"/>
        <item x="141"/>
        <item x="63"/>
        <item x="155"/>
        <item x="162"/>
        <item x="23"/>
        <item x="111"/>
        <item x="17"/>
        <item x="143"/>
        <item x="125"/>
        <item x="128"/>
        <item x="74"/>
        <item x="22"/>
        <item x="130"/>
        <item x="10"/>
        <item x="149"/>
        <item x="151"/>
        <item x="144"/>
        <item x="29"/>
        <item x="120"/>
        <item x="49"/>
        <item x="136"/>
        <item x="88"/>
        <item x="85"/>
        <item x="153"/>
        <item t="default"/>
      </items>
    </pivotField>
    <pivotField showAll="0">
      <items count="5">
        <item x="3"/>
        <item x="0"/>
        <item x="2"/>
        <item x="1"/>
        <item t="default"/>
      </items>
    </pivotField>
    <pivotField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s>
  <rowFields count="1">
    <field x="11"/>
  </rowFields>
  <rowItems count="7">
    <i>
      <x v="1"/>
    </i>
    <i>
      <x v="2"/>
    </i>
    <i>
      <x v="3"/>
    </i>
    <i>
      <x v="4"/>
    </i>
    <i>
      <x v="5"/>
    </i>
    <i>
      <x v="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EB5F27-9B97-424C-8223-B5174E385A01}" name="TOP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85:B89" firstHeaderRow="1" firstDataRow="1" firstDataCol="1"/>
  <pivotFields count="12">
    <pivotField showAll="0"/>
    <pivotField numFmtId="14" showAll="0">
      <items count="167">
        <item x="129"/>
        <item x="101"/>
        <item x="154"/>
        <item x="90"/>
        <item x="105"/>
        <item x="26"/>
        <item x="161"/>
        <item x="8"/>
        <item x="53"/>
        <item x="70"/>
        <item x="57"/>
        <item x="82"/>
        <item x="160"/>
        <item x="40"/>
        <item x="89"/>
        <item x="1"/>
        <item x="146"/>
        <item x="142"/>
        <item x="138"/>
        <item x="60"/>
        <item x="93"/>
        <item x="65"/>
        <item x="137"/>
        <item x="2"/>
        <item x="91"/>
        <item x="96"/>
        <item x="79"/>
        <item x="73"/>
        <item x="69"/>
        <item x="135"/>
        <item x="44"/>
        <item x="112"/>
        <item x="102"/>
        <item x="72"/>
        <item x="58"/>
        <item x="133"/>
        <item x="148"/>
        <item x="61"/>
        <item x="62"/>
        <item x="126"/>
        <item x="19"/>
        <item x="13"/>
        <item x="77"/>
        <item x="43"/>
        <item x="64"/>
        <item x="163"/>
        <item x="104"/>
        <item x="156"/>
        <item x="28"/>
        <item x="9"/>
        <item x="134"/>
        <item x="50"/>
        <item x="38"/>
        <item x="75"/>
        <item x="35"/>
        <item x="52"/>
        <item x="103"/>
        <item x="25"/>
        <item x="51"/>
        <item x="3"/>
        <item x="139"/>
        <item x="31"/>
        <item x="55"/>
        <item x="114"/>
        <item x="68"/>
        <item x="34"/>
        <item x="119"/>
        <item x="4"/>
        <item x="81"/>
        <item x="56"/>
        <item x="92"/>
        <item x="165"/>
        <item x="14"/>
        <item x="21"/>
        <item x="59"/>
        <item x="47"/>
        <item x="15"/>
        <item x="98"/>
        <item x="16"/>
        <item x="54"/>
        <item x="132"/>
        <item x="110"/>
        <item x="95"/>
        <item x="107"/>
        <item x="108"/>
        <item x="48"/>
        <item x="39"/>
        <item x="71"/>
        <item x="164"/>
        <item x="123"/>
        <item x="106"/>
        <item x="12"/>
        <item x="76"/>
        <item x="11"/>
        <item x="117"/>
        <item x="121"/>
        <item x="78"/>
        <item x="122"/>
        <item x="0"/>
        <item x="118"/>
        <item x="32"/>
        <item x="116"/>
        <item x="87"/>
        <item x="159"/>
        <item x="124"/>
        <item x="66"/>
        <item x="36"/>
        <item x="113"/>
        <item x="99"/>
        <item x="84"/>
        <item x="7"/>
        <item x="97"/>
        <item x="109"/>
        <item x="41"/>
        <item x="115"/>
        <item x="30"/>
        <item x="80"/>
        <item x="42"/>
        <item x="152"/>
        <item x="24"/>
        <item x="27"/>
        <item x="158"/>
        <item x="46"/>
        <item x="147"/>
        <item x="18"/>
        <item x="20"/>
        <item x="67"/>
        <item x="100"/>
        <item x="145"/>
        <item x="157"/>
        <item x="37"/>
        <item x="140"/>
        <item x="127"/>
        <item x="45"/>
        <item x="150"/>
        <item x="94"/>
        <item x="86"/>
        <item x="83"/>
        <item x="33"/>
        <item x="131"/>
        <item x="5"/>
        <item x="6"/>
        <item x="141"/>
        <item x="63"/>
        <item x="155"/>
        <item x="162"/>
        <item x="23"/>
        <item x="111"/>
        <item x="17"/>
        <item x="143"/>
        <item x="125"/>
        <item x="128"/>
        <item x="74"/>
        <item x="22"/>
        <item x="130"/>
        <item x="10"/>
        <item x="149"/>
        <item x="151"/>
        <item x="144"/>
        <item x="29"/>
        <item x="120"/>
        <item x="49"/>
        <item x="136"/>
        <item x="88"/>
        <item x="85"/>
        <item x="153"/>
        <item t="default"/>
      </items>
    </pivotField>
    <pivotField showAll="0">
      <items count="5">
        <item x="3"/>
        <item x="0"/>
        <item x="2"/>
        <item x="1"/>
        <item t="default"/>
      </items>
    </pivotField>
    <pivotField showAll="0"/>
    <pivotField axis="axisRow" showAll="0" measureFilter="1">
      <items count="12">
        <item x="10"/>
        <item x="7"/>
        <item x="8"/>
        <item x="0"/>
        <item x="2"/>
        <item x="4"/>
        <item x="3"/>
        <item x="5"/>
        <item x="1"/>
        <item x="9"/>
        <item x="6"/>
        <item t="default"/>
      </items>
    </pivotField>
    <pivotField showAll="0"/>
    <pivotField dataField="1"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4"/>
  </rowFields>
  <rowItems count="4">
    <i>
      <x v="4"/>
    </i>
    <i>
      <x v="6"/>
    </i>
    <i>
      <x v="7"/>
    </i>
    <i t="grand">
      <x/>
    </i>
  </rowItems>
  <colItems count="1">
    <i/>
  </colItems>
  <dataFields count="1">
    <dataField name="Sum of Quantity" fld="6"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7"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FFA4E7-D8E6-4FF5-853A-4B3304BAFE99}" name="PRODUCTS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A35" firstHeaderRow="1" firstDataRow="1" firstDataCol="1"/>
  <pivotFields count="12">
    <pivotField showAll="0"/>
    <pivotField numFmtId="14" showAll="0">
      <items count="167">
        <item x="129"/>
        <item x="101"/>
        <item x="154"/>
        <item x="90"/>
        <item x="105"/>
        <item x="26"/>
        <item x="161"/>
        <item x="8"/>
        <item x="53"/>
        <item x="70"/>
        <item x="57"/>
        <item x="82"/>
        <item x="160"/>
        <item x="40"/>
        <item x="89"/>
        <item x="1"/>
        <item x="146"/>
        <item x="142"/>
        <item x="138"/>
        <item x="60"/>
        <item x="93"/>
        <item x="65"/>
        <item x="137"/>
        <item x="2"/>
        <item x="91"/>
        <item x="96"/>
        <item x="79"/>
        <item x="73"/>
        <item x="69"/>
        <item x="135"/>
        <item x="44"/>
        <item x="112"/>
        <item x="102"/>
        <item x="72"/>
        <item x="58"/>
        <item x="133"/>
        <item x="148"/>
        <item x="61"/>
        <item x="62"/>
        <item x="126"/>
        <item x="19"/>
        <item x="13"/>
        <item x="77"/>
        <item x="43"/>
        <item x="64"/>
        <item x="163"/>
        <item x="104"/>
        <item x="156"/>
        <item x="28"/>
        <item x="9"/>
        <item x="134"/>
        <item x="50"/>
        <item x="38"/>
        <item x="75"/>
        <item x="35"/>
        <item x="52"/>
        <item x="103"/>
        <item x="25"/>
        <item x="51"/>
        <item x="3"/>
        <item x="139"/>
        <item x="31"/>
        <item x="55"/>
        <item x="114"/>
        <item x="68"/>
        <item x="34"/>
        <item x="119"/>
        <item x="4"/>
        <item x="81"/>
        <item x="56"/>
        <item x="92"/>
        <item x="165"/>
        <item x="14"/>
        <item x="21"/>
        <item x="59"/>
        <item x="47"/>
        <item x="15"/>
        <item x="98"/>
        <item x="16"/>
        <item x="54"/>
        <item x="132"/>
        <item x="110"/>
        <item x="95"/>
        <item x="107"/>
        <item x="108"/>
        <item x="48"/>
        <item x="39"/>
        <item x="71"/>
        <item x="164"/>
        <item x="123"/>
        <item x="106"/>
        <item x="12"/>
        <item x="76"/>
        <item x="11"/>
        <item x="117"/>
        <item x="121"/>
        <item x="78"/>
        <item x="122"/>
        <item x="0"/>
        <item x="118"/>
        <item x="32"/>
        <item x="116"/>
        <item x="87"/>
        <item x="159"/>
        <item x="124"/>
        <item x="66"/>
        <item x="36"/>
        <item x="113"/>
        <item x="99"/>
        <item x="84"/>
        <item x="7"/>
        <item x="97"/>
        <item x="109"/>
        <item x="41"/>
        <item x="115"/>
        <item x="30"/>
        <item x="80"/>
        <item x="42"/>
        <item x="152"/>
        <item x="24"/>
        <item x="27"/>
        <item x="158"/>
        <item x="46"/>
        <item x="147"/>
        <item x="18"/>
        <item x="20"/>
        <item x="67"/>
        <item x="100"/>
        <item x="145"/>
        <item x="157"/>
        <item x="37"/>
        <item x="140"/>
        <item x="127"/>
        <item x="45"/>
        <item x="150"/>
        <item x="94"/>
        <item x="86"/>
        <item x="83"/>
        <item x="33"/>
        <item x="131"/>
        <item x="5"/>
        <item x="6"/>
        <item x="141"/>
        <item x="63"/>
        <item x="155"/>
        <item x="162"/>
        <item x="23"/>
        <item x="111"/>
        <item x="17"/>
        <item x="143"/>
        <item x="125"/>
        <item x="128"/>
        <item x="74"/>
        <item x="22"/>
        <item x="130"/>
        <item x="10"/>
        <item x="149"/>
        <item x="151"/>
        <item x="144"/>
        <item x="29"/>
        <item x="120"/>
        <item x="49"/>
        <item x="136"/>
        <item x="88"/>
        <item x="85"/>
        <item x="153"/>
        <item t="default"/>
      </items>
    </pivotField>
    <pivotField showAll="0">
      <items count="5">
        <item x="3"/>
        <item x="0"/>
        <item x="2"/>
        <item x="1"/>
        <item t="default"/>
      </items>
    </pivotField>
    <pivotField showAll="0"/>
    <pivotField axis="axisRow" showAll="0">
      <items count="12">
        <item x="10"/>
        <item x="7"/>
        <item x="8"/>
        <item x="0"/>
        <item x="2"/>
        <item x="4"/>
        <item x="3"/>
        <item x="5"/>
        <item x="1"/>
        <item x="9"/>
        <item x="6"/>
        <item t="default"/>
      </items>
    </pivotField>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4"/>
  </rowFields>
  <rowItems count="12">
    <i>
      <x/>
    </i>
    <i>
      <x v="1"/>
    </i>
    <i>
      <x v="2"/>
    </i>
    <i>
      <x v="3"/>
    </i>
    <i>
      <x v="4"/>
    </i>
    <i>
      <x v="5"/>
    </i>
    <i>
      <x v="6"/>
    </i>
    <i>
      <x v="7"/>
    </i>
    <i>
      <x v="8"/>
    </i>
    <i>
      <x v="9"/>
    </i>
    <i>
      <x v="1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F4BFE0-1E22-4EF9-90D0-0D59C6AAD5CE}" name="REGIONS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9" firstHeaderRow="1" firstDataRow="1" firstDataCol="1"/>
  <pivotFields count="12">
    <pivotField showAll="0"/>
    <pivotField numFmtId="14" showAll="0">
      <items count="167">
        <item x="129"/>
        <item x="101"/>
        <item x="154"/>
        <item x="90"/>
        <item x="105"/>
        <item x="26"/>
        <item x="161"/>
        <item x="8"/>
        <item x="53"/>
        <item x="70"/>
        <item x="57"/>
        <item x="82"/>
        <item x="160"/>
        <item x="40"/>
        <item x="89"/>
        <item x="1"/>
        <item x="146"/>
        <item x="142"/>
        <item x="138"/>
        <item x="60"/>
        <item x="93"/>
        <item x="65"/>
        <item x="137"/>
        <item x="2"/>
        <item x="91"/>
        <item x="96"/>
        <item x="79"/>
        <item x="73"/>
        <item x="69"/>
        <item x="135"/>
        <item x="44"/>
        <item x="112"/>
        <item x="102"/>
        <item x="72"/>
        <item x="58"/>
        <item x="133"/>
        <item x="148"/>
        <item x="61"/>
        <item x="62"/>
        <item x="126"/>
        <item x="19"/>
        <item x="13"/>
        <item x="77"/>
        <item x="43"/>
        <item x="64"/>
        <item x="163"/>
        <item x="104"/>
        <item x="156"/>
        <item x="28"/>
        <item x="9"/>
        <item x="134"/>
        <item x="50"/>
        <item x="38"/>
        <item x="75"/>
        <item x="35"/>
        <item x="52"/>
        <item x="103"/>
        <item x="25"/>
        <item x="51"/>
        <item x="3"/>
        <item x="139"/>
        <item x="31"/>
        <item x="55"/>
        <item x="114"/>
        <item x="68"/>
        <item x="34"/>
        <item x="119"/>
        <item x="4"/>
        <item x="81"/>
        <item x="56"/>
        <item x="92"/>
        <item x="165"/>
        <item x="14"/>
        <item x="21"/>
        <item x="59"/>
        <item x="47"/>
        <item x="15"/>
        <item x="98"/>
        <item x="16"/>
        <item x="54"/>
        <item x="132"/>
        <item x="110"/>
        <item x="95"/>
        <item x="107"/>
        <item x="108"/>
        <item x="48"/>
        <item x="39"/>
        <item x="71"/>
        <item x="164"/>
        <item x="123"/>
        <item x="106"/>
        <item x="12"/>
        <item x="76"/>
        <item x="11"/>
        <item x="117"/>
        <item x="121"/>
        <item x="78"/>
        <item x="122"/>
        <item x="0"/>
        <item x="118"/>
        <item x="32"/>
        <item x="116"/>
        <item x="87"/>
        <item x="159"/>
        <item x="124"/>
        <item x="66"/>
        <item x="36"/>
        <item x="113"/>
        <item x="99"/>
        <item x="84"/>
        <item x="7"/>
        <item x="97"/>
        <item x="109"/>
        <item x="41"/>
        <item x="115"/>
        <item x="30"/>
        <item x="80"/>
        <item x="42"/>
        <item x="152"/>
        <item x="24"/>
        <item x="27"/>
        <item x="158"/>
        <item x="46"/>
        <item x="147"/>
        <item x="18"/>
        <item x="20"/>
        <item x="67"/>
        <item x="100"/>
        <item x="145"/>
        <item x="157"/>
        <item x="37"/>
        <item x="140"/>
        <item x="127"/>
        <item x="45"/>
        <item x="150"/>
        <item x="94"/>
        <item x="86"/>
        <item x="83"/>
        <item x="33"/>
        <item x="131"/>
        <item x="5"/>
        <item x="6"/>
        <item x="141"/>
        <item x="63"/>
        <item x="155"/>
        <item x="162"/>
        <item x="23"/>
        <item x="111"/>
        <item x="17"/>
        <item x="143"/>
        <item x="125"/>
        <item x="128"/>
        <item x="74"/>
        <item x="22"/>
        <item x="130"/>
        <item x="10"/>
        <item x="149"/>
        <item x="151"/>
        <item x="144"/>
        <item x="29"/>
        <item x="120"/>
        <item x="49"/>
        <item x="136"/>
        <item x="88"/>
        <item x="85"/>
        <item x="153"/>
        <item t="default"/>
      </items>
    </pivotField>
    <pivotField axis="axisRow" showAll="0">
      <items count="5">
        <item x="0"/>
        <item x="2"/>
        <item x="1"/>
        <item x="3"/>
        <item t="default"/>
      </items>
    </pivotField>
    <pivotField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2"/>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F084F3-E1F3-4050-83E7-3BFE5C11DB99}"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37:C141" firstHeaderRow="1" firstDataRow="1" firstDataCol="1"/>
  <pivotFields count="12">
    <pivotField showAll="0"/>
    <pivotField numFmtId="14" showAll="0">
      <items count="167">
        <item x="129"/>
        <item x="101"/>
        <item x="154"/>
        <item x="90"/>
        <item x="105"/>
        <item x="26"/>
        <item x="161"/>
        <item x="8"/>
        <item x="53"/>
        <item x="70"/>
        <item x="57"/>
        <item x="82"/>
        <item x="160"/>
        <item x="40"/>
        <item x="89"/>
        <item x="1"/>
        <item x="146"/>
        <item x="142"/>
        <item x="138"/>
        <item x="60"/>
        <item x="93"/>
        <item x="65"/>
        <item x="137"/>
        <item x="2"/>
        <item x="91"/>
        <item x="96"/>
        <item x="79"/>
        <item x="73"/>
        <item x="69"/>
        <item x="135"/>
        <item x="44"/>
        <item x="112"/>
        <item x="102"/>
        <item x="72"/>
        <item x="58"/>
        <item x="133"/>
        <item x="148"/>
        <item x="61"/>
        <item x="62"/>
        <item x="126"/>
        <item x="19"/>
        <item x="13"/>
        <item x="77"/>
        <item x="43"/>
        <item x="64"/>
        <item x="163"/>
        <item x="104"/>
        <item x="156"/>
        <item x="28"/>
        <item x="9"/>
        <item x="134"/>
        <item x="50"/>
        <item x="38"/>
        <item x="75"/>
        <item x="35"/>
        <item x="52"/>
        <item x="103"/>
        <item x="25"/>
        <item x="51"/>
        <item x="3"/>
        <item x="139"/>
        <item x="31"/>
        <item x="55"/>
        <item x="114"/>
        <item x="68"/>
        <item x="34"/>
        <item x="119"/>
        <item x="4"/>
        <item x="81"/>
        <item x="56"/>
        <item x="92"/>
        <item x="165"/>
        <item x="14"/>
        <item x="21"/>
        <item x="59"/>
        <item x="47"/>
        <item x="15"/>
        <item x="98"/>
        <item x="16"/>
        <item x="54"/>
        <item x="132"/>
        <item x="110"/>
        <item x="95"/>
        <item x="107"/>
        <item x="108"/>
        <item x="48"/>
        <item x="39"/>
        <item x="71"/>
        <item x="164"/>
        <item x="123"/>
        <item x="106"/>
        <item x="12"/>
        <item x="76"/>
        <item x="11"/>
        <item x="117"/>
        <item x="121"/>
        <item x="78"/>
        <item x="122"/>
        <item x="0"/>
        <item x="118"/>
        <item x="32"/>
        <item x="116"/>
        <item x="87"/>
        <item x="159"/>
        <item x="124"/>
        <item x="66"/>
        <item x="36"/>
        <item x="113"/>
        <item x="99"/>
        <item x="84"/>
        <item x="7"/>
        <item x="97"/>
        <item x="109"/>
        <item x="41"/>
        <item x="115"/>
        <item x="30"/>
        <item x="80"/>
        <item x="42"/>
        <item x="152"/>
        <item x="24"/>
        <item x="27"/>
        <item x="158"/>
        <item x="46"/>
        <item x="147"/>
        <item x="18"/>
        <item x="20"/>
        <item x="67"/>
        <item x="100"/>
        <item x="145"/>
        <item x="157"/>
        <item x="37"/>
        <item x="140"/>
        <item x="127"/>
        <item x="45"/>
        <item x="150"/>
        <item x="94"/>
        <item x="86"/>
        <item x="83"/>
        <item x="33"/>
        <item x="131"/>
        <item x="5"/>
        <item x="6"/>
        <item x="141"/>
        <item x="63"/>
        <item x="155"/>
        <item x="162"/>
        <item x="23"/>
        <item x="111"/>
        <item x="17"/>
        <item x="143"/>
        <item x="125"/>
        <item x="128"/>
        <item x="74"/>
        <item x="22"/>
        <item x="130"/>
        <item x="10"/>
        <item x="149"/>
        <item x="151"/>
        <item x="144"/>
        <item x="29"/>
        <item x="120"/>
        <item x="49"/>
        <item x="136"/>
        <item x="88"/>
        <item x="85"/>
        <item x="153"/>
        <item t="default"/>
      </items>
    </pivotField>
    <pivotField showAll="0">
      <items count="5">
        <item x="3"/>
        <item x="0"/>
        <item x="2"/>
        <item x="1"/>
        <item t="default"/>
      </items>
    </pivotField>
    <pivotField axis="axisRow" showAll="0" measureFilter="1">
      <items count="7">
        <item x="5"/>
        <item x="4"/>
        <item x="2"/>
        <item x="1"/>
        <item x="0"/>
        <item x="3"/>
        <item t="default"/>
      </items>
    </pivotField>
    <pivotField showAll="0">
      <items count="12">
        <item x="10"/>
        <item x="7"/>
        <item x="8"/>
        <item x="0"/>
        <item x="2"/>
        <item x="4"/>
        <item x="3"/>
        <item x="5"/>
        <item x="1"/>
        <item x="9"/>
        <item x="6"/>
        <item t="default"/>
      </items>
    </pivotField>
    <pivotField showAll="0"/>
    <pivotField dataField="1"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3"/>
  </rowFields>
  <rowItems count="4">
    <i>
      <x v="1"/>
    </i>
    <i>
      <x v="2"/>
    </i>
    <i>
      <x v="4"/>
    </i>
    <i t="grand">
      <x/>
    </i>
  </rowItems>
  <colItems count="1">
    <i/>
  </colItems>
  <dataFields count="1">
    <dataField name="Sum of Quantity" fld="6" baseField="0" baseItem="0"/>
  </dataFields>
  <chartFormats count="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024CE8-81F3-4837-81CF-CC9F9C234ECF}" name="BOTTOM 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96:B100" firstHeaderRow="1" firstDataRow="1" firstDataCol="1"/>
  <pivotFields count="12">
    <pivotField showAll="0"/>
    <pivotField numFmtId="14" showAll="0">
      <items count="167">
        <item x="129"/>
        <item x="101"/>
        <item x="154"/>
        <item x="90"/>
        <item x="105"/>
        <item x="26"/>
        <item x="161"/>
        <item x="8"/>
        <item x="53"/>
        <item x="70"/>
        <item x="57"/>
        <item x="82"/>
        <item x="160"/>
        <item x="40"/>
        <item x="89"/>
        <item x="1"/>
        <item x="146"/>
        <item x="142"/>
        <item x="138"/>
        <item x="60"/>
        <item x="93"/>
        <item x="65"/>
        <item x="137"/>
        <item x="2"/>
        <item x="91"/>
        <item x="96"/>
        <item x="79"/>
        <item x="73"/>
        <item x="69"/>
        <item x="135"/>
        <item x="44"/>
        <item x="112"/>
        <item x="102"/>
        <item x="72"/>
        <item x="58"/>
        <item x="133"/>
        <item x="148"/>
        <item x="61"/>
        <item x="62"/>
        <item x="126"/>
        <item x="19"/>
        <item x="13"/>
        <item x="77"/>
        <item x="43"/>
        <item x="64"/>
        <item x="163"/>
        <item x="104"/>
        <item x="156"/>
        <item x="28"/>
        <item x="9"/>
        <item x="134"/>
        <item x="50"/>
        <item x="38"/>
        <item x="75"/>
        <item x="35"/>
        <item x="52"/>
        <item x="103"/>
        <item x="25"/>
        <item x="51"/>
        <item x="3"/>
        <item x="139"/>
        <item x="31"/>
        <item x="55"/>
        <item x="114"/>
        <item x="68"/>
        <item x="34"/>
        <item x="119"/>
        <item x="4"/>
        <item x="81"/>
        <item x="56"/>
        <item x="92"/>
        <item x="165"/>
        <item x="14"/>
        <item x="21"/>
        <item x="59"/>
        <item x="47"/>
        <item x="15"/>
        <item x="98"/>
        <item x="16"/>
        <item x="54"/>
        <item x="132"/>
        <item x="110"/>
        <item x="95"/>
        <item x="107"/>
        <item x="108"/>
        <item x="48"/>
        <item x="39"/>
        <item x="71"/>
        <item x="164"/>
        <item x="123"/>
        <item x="106"/>
        <item x="12"/>
        <item x="76"/>
        <item x="11"/>
        <item x="117"/>
        <item x="121"/>
        <item x="78"/>
        <item x="122"/>
        <item x="0"/>
        <item x="118"/>
        <item x="32"/>
        <item x="116"/>
        <item x="87"/>
        <item x="159"/>
        <item x="124"/>
        <item x="66"/>
        <item x="36"/>
        <item x="113"/>
        <item x="99"/>
        <item x="84"/>
        <item x="7"/>
        <item x="97"/>
        <item x="109"/>
        <item x="41"/>
        <item x="115"/>
        <item x="30"/>
        <item x="80"/>
        <item x="42"/>
        <item x="152"/>
        <item x="24"/>
        <item x="27"/>
        <item x="158"/>
        <item x="46"/>
        <item x="147"/>
        <item x="18"/>
        <item x="20"/>
        <item x="67"/>
        <item x="100"/>
        <item x="145"/>
        <item x="157"/>
        <item x="37"/>
        <item x="140"/>
        <item x="127"/>
        <item x="45"/>
        <item x="150"/>
        <item x="94"/>
        <item x="86"/>
        <item x="83"/>
        <item x="33"/>
        <item x="131"/>
        <item x="5"/>
        <item x="6"/>
        <item x="141"/>
        <item x="63"/>
        <item x="155"/>
        <item x="162"/>
        <item x="23"/>
        <item x="111"/>
        <item x="17"/>
        <item x="143"/>
        <item x="125"/>
        <item x="128"/>
        <item x="74"/>
        <item x="22"/>
        <item x="130"/>
        <item x="10"/>
        <item x="149"/>
        <item x="151"/>
        <item x="144"/>
        <item x="29"/>
        <item x="120"/>
        <item x="49"/>
        <item x="136"/>
        <item x="88"/>
        <item x="85"/>
        <item x="153"/>
        <item t="default"/>
      </items>
    </pivotField>
    <pivotField showAll="0">
      <items count="5">
        <item x="3"/>
        <item x="0"/>
        <item x="2"/>
        <item x="1"/>
        <item t="default"/>
      </items>
    </pivotField>
    <pivotField showAll="0"/>
    <pivotField axis="axisRow" showAll="0" measureFilter="1">
      <items count="12">
        <item x="10"/>
        <item x="7"/>
        <item x="8"/>
        <item x="0"/>
        <item x="2"/>
        <item x="4"/>
        <item x="3"/>
        <item x="5"/>
        <item x="1"/>
        <item x="9"/>
        <item x="6"/>
        <item t="default"/>
      </items>
    </pivotField>
    <pivotField showAll="0"/>
    <pivotField dataField="1"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4"/>
  </rowFields>
  <rowItems count="4">
    <i>
      <x/>
    </i>
    <i>
      <x v="1"/>
    </i>
    <i>
      <x v="3"/>
    </i>
    <i t="grand">
      <x/>
    </i>
  </rowItems>
  <colItems count="1">
    <i/>
  </colItems>
  <dataFields count="1">
    <dataField name="Sum of Quantity" fld="6" baseField="0" baseItem="0"/>
  </dataFields>
  <chartFormats count="4">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filters count="1">
    <filter fld="4" type="count" evalOrder="-1" id="4"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49BF75-0447-401B-A099-E4C77C777F2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27:C131" firstHeaderRow="1" firstDataRow="1" firstDataCol="1"/>
  <pivotFields count="12">
    <pivotField showAll="0"/>
    <pivotField numFmtId="14" showAll="0">
      <items count="167">
        <item x="129"/>
        <item x="101"/>
        <item x="154"/>
        <item x="90"/>
        <item x="105"/>
        <item x="26"/>
        <item x="161"/>
        <item x="8"/>
        <item x="53"/>
        <item x="70"/>
        <item x="57"/>
        <item x="82"/>
        <item x="160"/>
        <item x="40"/>
        <item x="89"/>
        <item x="1"/>
        <item x="146"/>
        <item x="142"/>
        <item x="138"/>
        <item x="60"/>
        <item x="93"/>
        <item x="65"/>
        <item x="137"/>
        <item x="2"/>
        <item x="91"/>
        <item x="96"/>
        <item x="79"/>
        <item x="73"/>
        <item x="69"/>
        <item x="135"/>
        <item x="44"/>
        <item x="112"/>
        <item x="102"/>
        <item x="72"/>
        <item x="58"/>
        <item x="133"/>
        <item x="148"/>
        <item x="61"/>
        <item x="62"/>
        <item x="126"/>
        <item x="19"/>
        <item x="13"/>
        <item x="77"/>
        <item x="43"/>
        <item x="64"/>
        <item x="163"/>
        <item x="104"/>
        <item x="156"/>
        <item x="28"/>
        <item x="9"/>
        <item x="134"/>
        <item x="50"/>
        <item x="38"/>
        <item x="75"/>
        <item x="35"/>
        <item x="52"/>
        <item x="103"/>
        <item x="25"/>
        <item x="51"/>
        <item x="3"/>
        <item x="139"/>
        <item x="31"/>
        <item x="55"/>
        <item x="114"/>
        <item x="68"/>
        <item x="34"/>
        <item x="119"/>
        <item x="4"/>
        <item x="81"/>
        <item x="56"/>
        <item x="92"/>
        <item x="165"/>
        <item x="14"/>
        <item x="21"/>
        <item x="59"/>
        <item x="47"/>
        <item x="15"/>
        <item x="98"/>
        <item x="16"/>
        <item x="54"/>
        <item x="132"/>
        <item x="110"/>
        <item x="95"/>
        <item x="107"/>
        <item x="108"/>
        <item x="48"/>
        <item x="39"/>
        <item x="71"/>
        <item x="164"/>
        <item x="123"/>
        <item x="106"/>
        <item x="12"/>
        <item x="76"/>
        <item x="11"/>
        <item x="117"/>
        <item x="121"/>
        <item x="78"/>
        <item x="122"/>
        <item x="0"/>
        <item x="118"/>
        <item x="32"/>
        <item x="116"/>
        <item x="87"/>
        <item x="159"/>
        <item x="124"/>
        <item x="66"/>
        <item x="36"/>
        <item x="113"/>
        <item x="99"/>
        <item x="84"/>
        <item x="7"/>
        <item x="97"/>
        <item x="109"/>
        <item x="41"/>
        <item x="115"/>
        <item x="30"/>
        <item x="80"/>
        <item x="42"/>
        <item x="152"/>
        <item x="24"/>
        <item x="27"/>
        <item x="158"/>
        <item x="46"/>
        <item x="147"/>
        <item x="18"/>
        <item x="20"/>
        <item x="67"/>
        <item x="100"/>
        <item x="145"/>
        <item x="157"/>
        <item x="37"/>
        <item x="140"/>
        <item x="127"/>
        <item x="45"/>
        <item x="150"/>
        <item x="94"/>
        <item x="86"/>
        <item x="83"/>
        <item x="33"/>
        <item x="131"/>
        <item x="5"/>
        <item x="6"/>
        <item x="141"/>
        <item x="63"/>
        <item x="155"/>
        <item x="162"/>
        <item x="23"/>
        <item x="111"/>
        <item x="17"/>
        <item x="143"/>
        <item x="125"/>
        <item x="128"/>
        <item x="74"/>
        <item x="22"/>
        <item x="130"/>
        <item x="10"/>
        <item x="149"/>
        <item x="151"/>
        <item x="144"/>
        <item x="29"/>
        <item x="120"/>
        <item x="49"/>
        <item x="136"/>
        <item x="88"/>
        <item x="85"/>
        <item x="153"/>
        <item t="default"/>
      </items>
    </pivotField>
    <pivotField showAll="0">
      <items count="5">
        <item x="3"/>
        <item x="0"/>
        <item x="2"/>
        <item x="1"/>
        <item t="default"/>
      </items>
    </pivotField>
    <pivotField axis="axisRow" showAll="0" measureFilter="1">
      <items count="7">
        <item x="5"/>
        <item x="4"/>
        <item x="2"/>
        <item x="1"/>
        <item x="0"/>
        <item x="3"/>
        <item t="default"/>
      </items>
    </pivotField>
    <pivotField showAll="0">
      <items count="12">
        <item x="10"/>
        <item x="7"/>
        <item x="8"/>
        <item x="0"/>
        <item x="2"/>
        <item x="4"/>
        <item x="3"/>
        <item x="5"/>
        <item x="1"/>
        <item x="9"/>
        <item x="6"/>
        <item t="default"/>
      </items>
    </pivotField>
    <pivotField showAll="0"/>
    <pivotField dataField="1"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3"/>
  </rowFields>
  <rowItems count="4">
    <i>
      <x/>
    </i>
    <i>
      <x v="3"/>
    </i>
    <i>
      <x v="5"/>
    </i>
    <i t="grand">
      <x/>
    </i>
  </rowItems>
  <colItems count="1">
    <i/>
  </colItems>
  <dataFields count="1">
    <dataField name="Sum of Quantity" fld="6"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7F0C039-F3FF-4CDC-B15B-966FEA07257B}" name="SALES BY MONTH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46:B53" firstHeaderRow="1" firstDataRow="1" firstDataCol="1"/>
  <pivotFields count="12">
    <pivotField showAll="0"/>
    <pivotField numFmtId="14" showAll="0">
      <items count="167">
        <item x="129"/>
        <item x="101"/>
        <item x="154"/>
        <item x="90"/>
        <item x="105"/>
        <item x="26"/>
        <item x="161"/>
        <item x="8"/>
        <item x="53"/>
        <item x="70"/>
        <item x="57"/>
        <item x="82"/>
        <item x="160"/>
        <item x="40"/>
        <item x="89"/>
        <item x="1"/>
        <item x="146"/>
        <item x="142"/>
        <item x="138"/>
        <item x="60"/>
        <item x="93"/>
        <item x="65"/>
        <item x="137"/>
        <item x="2"/>
        <item x="91"/>
        <item x="96"/>
        <item x="79"/>
        <item x="73"/>
        <item x="69"/>
        <item x="135"/>
        <item x="44"/>
        <item x="112"/>
        <item x="102"/>
        <item x="72"/>
        <item x="58"/>
        <item x="133"/>
        <item x="148"/>
        <item x="61"/>
        <item x="62"/>
        <item x="126"/>
        <item x="19"/>
        <item x="13"/>
        <item x="77"/>
        <item x="43"/>
        <item x="64"/>
        <item x="163"/>
        <item x="104"/>
        <item x="156"/>
        <item x="28"/>
        <item x="9"/>
        <item x="134"/>
        <item x="50"/>
        <item x="38"/>
        <item x="75"/>
        <item x="35"/>
        <item x="52"/>
        <item x="103"/>
        <item x="25"/>
        <item x="51"/>
        <item x="3"/>
        <item x="139"/>
        <item x="31"/>
        <item x="55"/>
        <item x="114"/>
        <item x="68"/>
        <item x="34"/>
        <item x="119"/>
        <item x="4"/>
        <item x="81"/>
        <item x="56"/>
        <item x="92"/>
        <item x="165"/>
        <item x="14"/>
        <item x="21"/>
        <item x="59"/>
        <item x="47"/>
        <item x="15"/>
        <item x="98"/>
        <item x="16"/>
        <item x="54"/>
        <item x="132"/>
        <item x="110"/>
        <item x="95"/>
        <item x="107"/>
        <item x="108"/>
        <item x="48"/>
        <item x="39"/>
        <item x="71"/>
        <item x="164"/>
        <item x="123"/>
        <item x="106"/>
        <item x="12"/>
        <item x="76"/>
        <item x="11"/>
        <item x="117"/>
        <item x="121"/>
        <item x="78"/>
        <item x="122"/>
        <item x="0"/>
        <item x="118"/>
        <item x="32"/>
        <item x="116"/>
        <item x="87"/>
        <item x="159"/>
        <item x="124"/>
        <item x="66"/>
        <item x="36"/>
        <item x="113"/>
        <item x="99"/>
        <item x="84"/>
        <item x="7"/>
        <item x="97"/>
        <item x="109"/>
        <item x="41"/>
        <item x="115"/>
        <item x="30"/>
        <item x="80"/>
        <item x="42"/>
        <item x="152"/>
        <item x="24"/>
        <item x="27"/>
        <item x="158"/>
        <item x="46"/>
        <item x="147"/>
        <item x="18"/>
        <item x="20"/>
        <item x="67"/>
        <item x="100"/>
        <item x="145"/>
        <item x="157"/>
        <item x="37"/>
        <item x="140"/>
        <item x="127"/>
        <item x="45"/>
        <item x="150"/>
        <item x="94"/>
        <item x="86"/>
        <item x="83"/>
        <item x="33"/>
        <item x="131"/>
        <item x="5"/>
        <item x="6"/>
        <item x="141"/>
        <item x="63"/>
        <item x="155"/>
        <item x="162"/>
        <item x="23"/>
        <item x="111"/>
        <item x="17"/>
        <item x="143"/>
        <item x="125"/>
        <item x="128"/>
        <item x="74"/>
        <item x="22"/>
        <item x="130"/>
        <item x="10"/>
        <item x="149"/>
        <item x="151"/>
        <item x="144"/>
        <item x="29"/>
        <item x="120"/>
        <item x="49"/>
        <item x="136"/>
        <item x="88"/>
        <item x="85"/>
        <item x="153"/>
        <item t="default"/>
      </items>
    </pivotField>
    <pivotField showAll="0">
      <items count="5">
        <item x="3"/>
        <item x="0"/>
        <item x="2"/>
        <item x="1"/>
        <item t="default"/>
      </items>
    </pivotField>
    <pivotField showAll="0"/>
    <pivotField showAll="0">
      <items count="12">
        <item x="10"/>
        <item x="7"/>
        <item x="8"/>
        <item x="0"/>
        <item x="2"/>
        <item x="4"/>
        <item x="3"/>
        <item x="5"/>
        <item x="1"/>
        <item x="9"/>
        <item x="6"/>
        <item t="default"/>
      </items>
    </pivotField>
    <pivotField showAll="0"/>
    <pivotField showAll="0"/>
    <pivotField showAll="0"/>
    <pivotField showAll="0"/>
    <pivotField showAll="0"/>
    <pivotField dataField="1" showAll="0"/>
    <pivotField axis="axisRow" showAll="0" defaultSubtotal="0">
      <items count="14">
        <item x="0"/>
        <item x="1"/>
        <item x="2"/>
        <item x="3"/>
        <item x="4"/>
        <item x="5"/>
        <item x="6"/>
        <item x="7"/>
        <item x="8"/>
        <item x="9"/>
        <item x="10"/>
        <item x="11"/>
        <item x="12"/>
        <item x="13"/>
      </items>
    </pivotField>
  </pivotFields>
  <rowFields count="1">
    <field x="11"/>
  </rowFields>
  <rowItems count="7">
    <i>
      <x v="1"/>
    </i>
    <i>
      <x v="2"/>
    </i>
    <i>
      <x v="3"/>
    </i>
    <i>
      <x v="4"/>
    </i>
    <i>
      <x v="5"/>
    </i>
    <i>
      <x v="6"/>
    </i>
    <i t="grand">
      <x/>
    </i>
  </rowItems>
  <colItems count="1">
    <i/>
  </colItems>
  <dataFields count="1">
    <dataField name="Sum of Sales_Amount" fld="10" baseField="0" baseItem="0"/>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E0A0EB3-B7B3-4337-83D1-66CA8AE9823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12:B119" firstHeaderRow="1" firstDataRow="1" firstDataCol="1"/>
  <pivotFields count="12">
    <pivotField showAll="0"/>
    <pivotField numFmtId="14" showAll="0">
      <items count="167">
        <item x="129"/>
        <item x="101"/>
        <item x="154"/>
        <item x="90"/>
        <item x="105"/>
        <item x="26"/>
        <item x="161"/>
        <item x="8"/>
        <item x="53"/>
        <item x="70"/>
        <item x="57"/>
        <item x="82"/>
        <item x="160"/>
        <item x="40"/>
        <item x="89"/>
        <item x="1"/>
        <item x="146"/>
        <item x="142"/>
        <item x="138"/>
        <item x="60"/>
        <item x="93"/>
        <item x="65"/>
        <item x="137"/>
        <item x="2"/>
        <item x="91"/>
        <item x="96"/>
        <item x="79"/>
        <item x="73"/>
        <item x="69"/>
        <item x="135"/>
        <item x="44"/>
        <item x="112"/>
        <item x="102"/>
        <item x="72"/>
        <item x="58"/>
        <item x="133"/>
        <item x="148"/>
        <item x="61"/>
        <item x="62"/>
        <item x="126"/>
        <item x="19"/>
        <item x="13"/>
        <item x="77"/>
        <item x="43"/>
        <item x="64"/>
        <item x="163"/>
        <item x="104"/>
        <item x="156"/>
        <item x="28"/>
        <item x="9"/>
        <item x="134"/>
        <item x="50"/>
        <item x="38"/>
        <item x="75"/>
        <item x="35"/>
        <item x="52"/>
        <item x="103"/>
        <item x="25"/>
        <item x="51"/>
        <item x="3"/>
        <item x="139"/>
        <item x="31"/>
        <item x="55"/>
        <item x="114"/>
        <item x="68"/>
        <item x="34"/>
        <item x="119"/>
        <item x="4"/>
        <item x="81"/>
        <item x="56"/>
        <item x="92"/>
        <item x="165"/>
        <item x="14"/>
        <item x="21"/>
        <item x="59"/>
        <item x="47"/>
        <item x="15"/>
        <item x="98"/>
        <item x="16"/>
        <item x="54"/>
        <item x="132"/>
        <item x="110"/>
        <item x="95"/>
        <item x="107"/>
        <item x="108"/>
        <item x="48"/>
        <item x="39"/>
        <item x="71"/>
        <item x="164"/>
        <item x="123"/>
        <item x="106"/>
        <item x="12"/>
        <item x="76"/>
        <item x="11"/>
        <item x="117"/>
        <item x="121"/>
        <item x="78"/>
        <item x="122"/>
        <item x="0"/>
        <item x="118"/>
        <item x="32"/>
        <item x="116"/>
        <item x="87"/>
        <item x="159"/>
        <item x="124"/>
        <item x="66"/>
        <item x="36"/>
        <item x="113"/>
        <item x="99"/>
        <item x="84"/>
        <item x="7"/>
        <item x="97"/>
        <item x="109"/>
        <item x="41"/>
        <item x="115"/>
        <item x="30"/>
        <item x="80"/>
        <item x="42"/>
        <item x="152"/>
        <item x="24"/>
        <item x="27"/>
        <item x="158"/>
        <item x="46"/>
        <item x="147"/>
        <item x="18"/>
        <item x="20"/>
        <item x="67"/>
        <item x="100"/>
        <item x="145"/>
        <item x="157"/>
        <item x="37"/>
        <item x="140"/>
        <item x="127"/>
        <item x="45"/>
        <item x="150"/>
        <item x="94"/>
        <item x="86"/>
        <item x="83"/>
        <item x="33"/>
        <item x="131"/>
        <item x="5"/>
        <item x="6"/>
        <item x="141"/>
        <item x="63"/>
        <item x="155"/>
        <item x="162"/>
        <item x="23"/>
        <item x="111"/>
        <item x="17"/>
        <item x="143"/>
        <item x="125"/>
        <item x="128"/>
        <item x="74"/>
        <item x="22"/>
        <item x="130"/>
        <item x="10"/>
        <item x="149"/>
        <item x="151"/>
        <item x="144"/>
        <item x="29"/>
        <item x="120"/>
        <item x="49"/>
        <item x="136"/>
        <item x="88"/>
        <item x="85"/>
        <item x="153"/>
        <item t="default"/>
      </items>
    </pivotField>
    <pivotField showAll="0">
      <items count="5">
        <item x="3"/>
        <item x="0"/>
        <item x="2"/>
        <item x="1"/>
        <item t="default"/>
      </items>
    </pivotField>
    <pivotField axis="axisRow" showAll="0">
      <items count="7">
        <item x="5"/>
        <item x="4"/>
        <item x="2"/>
        <item x="1"/>
        <item x="0"/>
        <item x="3"/>
        <item t="default"/>
      </items>
    </pivotField>
    <pivotField showAll="0">
      <items count="12">
        <item x="10"/>
        <item x="7"/>
        <item x="8"/>
        <item x="0"/>
        <item x="2"/>
        <item x="4"/>
        <item x="3"/>
        <item x="5"/>
        <item x="1"/>
        <item x="9"/>
        <item x="6"/>
        <item t="default"/>
      </items>
    </pivotField>
    <pivotField showAll="0"/>
    <pivotField dataField="1"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3"/>
  </rowFields>
  <rowItems count="7">
    <i>
      <x/>
    </i>
    <i>
      <x v="1"/>
    </i>
    <i>
      <x v="2"/>
    </i>
    <i>
      <x v="3"/>
    </i>
    <i>
      <x v="4"/>
    </i>
    <i>
      <x v="5"/>
    </i>
    <i t="grand">
      <x/>
    </i>
  </rowItems>
  <colItems count="1">
    <i/>
  </colItems>
  <dataFields count="1">
    <dataField name="Sum of Quantity" fld="6"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D8D0F0A-1E62-4C6F-9B2A-EF0D2E8E2247}" name="SALES OF PRODUCT BY QUANT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68:B80" firstHeaderRow="1" firstDataRow="1" firstDataCol="1"/>
  <pivotFields count="12">
    <pivotField showAll="0"/>
    <pivotField numFmtId="14" showAll="0">
      <items count="167">
        <item x="129"/>
        <item x="101"/>
        <item x="154"/>
        <item x="90"/>
        <item x="105"/>
        <item x="26"/>
        <item x="161"/>
        <item x="8"/>
        <item x="53"/>
        <item x="70"/>
        <item x="57"/>
        <item x="82"/>
        <item x="160"/>
        <item x="40"/>
        <item x="89"/>
        <item x="1"/>
        <item x="146"/>
        <item x="142"/>
        <item x="138"/>
        <item x="60"/>
        <item x="93"/>
        <item x="65"/>
        <item x="137"/>
        <item x="2"/>
        <item x="91"/>
        <item x="96"/>
        <item x="79"/>
        <item x="73"/>
        <item x="69"/>
        <item x="135"/>
        <item x="44"/>
        <item x="112"/>
        <item x="102"/>
        <item x="72"/>
        <item x="58"/>
        <item x="133"/>
        <item x="148"/>
        <item x="61"/>
        <item x="62"/>
        <item x="126"/>
        <item x="19"/>
        <item x="13"/>
        <item x="77"/>
        <item x="43"/>
        <item x="64"/>
        <item x="163"/>
        <item x="104"/>
        <item x="156"/>
        <item x="28"/>
        <item x="9"/>
        <item x="134"/>
        <item x="50"/>
        <item x="38"/>
        <item x="75"/>
        <item x="35"/>
        <item x="52"/>
        <item x="103"/>
        <item x="25"/>
        <item x="51"/>
        <item x="3"/>
        <item x="139"/>
        <item x="31"/>
        <item x="55"/>
        <item x="114"/>
        <item x="68"/>
        <item x="34"/>
        <item x="119"/>
        <item x="4"/>
        <item x="81"/>
        <item x="56"/>
        <item x="92"/>
        <item x="165"/>
        <item x="14"/>
        <item x="21"/>
        <item x="59"/>
        <item x="47"/>
        <item x="15"/>
        <item x="98"/>
        <item x="16"/>
        <item x="54"/>
        <item x="132"/>
        <item x="110"/>
        <item x="95"/>
        <item x="107"/>
        <item x="108"/>
        <item x="48"/>
        <item x="39"/>
        <item x="71"/>
        <item x="164"/>
        <item x="123"/>
        <item x="106"/>
        <item x="12"/>
        <item x="76"/>
        <item x="11"/>
        <item x="117"/>
        <item x="121"/>
        <item x="78"/>
        <item x="122"/>
        <item x="0"/>
        <item x="118"/>
        <item x="32"/>
        <item x="116"/>
        <item x="87"/>
        <item x="159"/>
        <item x="124"/>
        <item x="66"/>
        <item x="36"/>
        <item x="113"/>
        <item x="99"/>
        <item x="84"/>
        <item x="7"/>
        <item x="97"/>
        <item x="109"/>
        <item x="41"/>
        <item x="115"/>
        <item x="30"/>
        <item x="80"/>
        <item x="42"/>
        <item x="152"/>
        <item x="24"/>
        <item x="27"/>
        <item x="158"/>
        <item x="46"/>
        <item x="147"/>
        <item x="18"/>
        <item x="20"/>
        <item x="67"/>
        <item x="100"/>
        <item x="145"/>
        <item x="157"/>
        <item x="37"/>
        <item x="140"/>
        <item x="127"/>
        <item x="45"/>
        <item x="150"/>
        <item x="94"/>
        <item x="86"/>
        <item x="83"/>
        <item x="33"/>
        <item x="131"/>
        <item x="5"/>
        <item x="6"/>
        <item x="141"/>
        <item x="63"/>
        <item x="155"/>
        <item x="162"/>
        <item x="23"/>
        <item x="111"/>
        <item x="17"/>
        <item x="143"/>
        <item x="125"/>
        <item x="128"/>
        <item x="74"/>
        <item x="22"/>
        <item x="130"/>
        <item x="10"/>
        <item x="149"/>
        <item x="151"/>
        <item x="144"/>
        <item x="29"/>
        <item x="120"/>
        <item x="49"/>
        <item x="136"/>
        <item x="88"/>
        <item x="85"/>
        <item x="153"/>
        <item t="default"/>
      </items>
    </pivotField>
    <pivotField showAll="0">
      <items count="5">
        <item x="3"/>
        <item x="0"/>
        <item x="2"/>
        <item x="1"/>
        <item t="default"/>
      </items>
    </pivotField>
    <pivotField showAll="0"/>
    <pivotField axis="axisRow" showAll="0">
      <items count="12">
        <item x="10"/>
        <item x="7"/>
        <item x="8"/>
        <item x="0"/>
        <item x="2"/>
        <item x="4"/>
        <item x="3"/>
        <item x="5"/>
        <item x="1"/>
        <item x="9"/>
        <item x="6"/>
        <item t="default"/>
      </items>
    </pivotField>
    <pivotField showAll="0"/>
    <pivotField dataField="1"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4"/>
  </rowFields>
  <rowItems count="12">
    <i>
      <x/>
    </i>
    <i>
      <x v="1"/>
    </i>
    <i>
      <x v="2"/>
    </i>
    <i>
      <x v="3"/>
    </i>
    <i>
      <x v="4"/>
    </i>
    <i>
      <x v="5"/>
    </i>
    <i>
      <x v="6"/>
    </i>
    <i>
      <x v="7"/>
    </i>
    <i>
      <x v="8"/>
    </i>
    <i>
      <x v="9"/>
    </i>
    <i>
      <x v="10"/>
    </i>
    <i t="grand">
      <x/>
    </i>
  </rowItems>
  <colItems count="1">
    <i/>
  </colItems>
  <dataFields count="1">
    <dataField name="Sum of Quantity" fld="6" baseField="0"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BF94CD6-61E3-4BDF-9643-E084303BEACA}" name="SALES BY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58:B63" firstHeaderRow="1" firstDataRow="1" firstDataCol="1"/>
  <pivotFields count="12">
    <pivotField showAll="0"/>
    <pivotField numFmtId="14" showAll="0">
      <items count="167">
        <item x="129"/>
        <item x="101"/>
        <item x="154"/>
        <item x="90"/>
        <item x="105"/>
        <item x="26"/>
        <item x="161"/>
        <item x="8"/>
        <item x="53"/>
        <item x="70"/>
        <item x="57"/>
        <item x="82"/>
        <item x="160"/>
        <item x="40"/>
        <item x="89"/>
        <item x="1"/>
        <item x="146"/>
        <item x="142"/>
        <item x="138"/>
        <item x="60"/>
        <item x="93"/>
        <item x="65"/>
        <item x="137"/>
        <item x="2"/>
        <item x="91"/>
        <item x="96"/>
        <item x="79"/>
        <item x="73"/>
        <item x="69"/>
        <item x="135"/>
        <item x="44"/>
        <item x="112"/>
        <item x="102"/>
        <item x="72"/>
        <item x="58"/>
        <item x="133"/>
        <item x="148"/>
        <item x="61"/>
        <item x="62"/>
        <item x="126"/>
        <item x="19"/>
        <item x="13"/>
        <item x="77"/>
        <item x="43"/>
        <item x="64"/>
        <item x="163"/>
        <item x="104"/>
        <item x="156"/>
        <item x="28"/>
        <item x="9"/>
        <item x="134"/>
        <item x="50"/>
        <item x="38"/>
        <item x="75"/>
        <item x="35"/>
        <item x="52"/>
        <item x="103"/>
        <item x="25"/>
        <item x="51"/>
        <item x="3"/>
        <item x="139"/>
        <item x="31"/>
        <item x="55"/>
        <item x="114"/>
        <item x="68"/>
        <item x="34"/>
        <item x="119"/>
        <item x="4"/>
        <item x="81"/>
        <item x="56"/>
        <item x="92"/>
        <item x="165"/>
        <item x="14"/>
        <item x="21"/>
        <item x="59"/>
        <item x="47"/>
        <item x="15"/>
        <item x="98"/>
        <item x="16"/>
        <item x="54"/>
        <item x="132"/>
        <item x="110"/>
        <item x="95"/>
        <item x="107"/>
        <item x="108"/>
        <item x="48"/>
        <item x="39"/>
        <item x="71"/>
        <item x="164"/>
        <item x="123"/>
        <item x="106"/>
        <item x="12"/>
        <item x="76"/>
        <item x="11"/>
        <item x="117"/>
        <item x="121"/>
        <item x="78"/>
        <item x="122"/>
        <item x="0"/>
        <item x="118"/>
        <item x="32"/>
        <item x="116"/>
        <item x="87"/>
        <item x="159"/>
        <item x="124"/>
        <item x="66"/>
        <item x="36"/>
        <item x="113"/>
        <item x="99"/>
        <item x="84"/>
        <item x="7"/>
        <item x="97"/>
        <item x="109"/>
        <item x="41"/>
        <item x="115"/>
        <item x="30"/>
        <item x="80"/>
        <item x="42"/>
        <item x="152"/>
        <item x="24"/>
        <item x="27"/>
        <item x="158"/>
        <item x="46"/>
        <item x="147"/>
        <item x="18"/>
        <item x="20"/>
        <item x="67"/>
        <item x="100"/>
        <item x="145"/>
        <item x="157"/>
        <item x="37"/>
        <item x="140"/>
        <item x="127"/>
        <item x="45"/>
        <item x="150"/>
        <item x="94"/>
        <item x="86"/>
        <item x="83"/>
        <item x="33"/>
        <item x="131"/>
        <item x="5"/>
        <item x="6"/>
        <item x="141"/>
        <item x="63"/>
        <item x="155"/>
        <item x="162"/>
        <item x="23"/>
        <item x="111"/>
        <item x="17"/>
        <item x="143"/>
        <item x="125"/>
        <item x="128"/>
        <item x="74"/>
        <item x="22"/>
        <item x="130"/>
        <item x="10"/>
        <item x="149"/>
        <item x="151"/>
        <item x="144"/>
        <item x="29"/>
        <item x="120"/>
        <item x="49"/>
        <item x="136"/>
        <item x="88"/>
        <item x="85"/>
        <item x="153"/>
        <item t="default"/>
      </items>
    </pivotField>
    <pivotField axis="axisRow" showAll="0" defaultSubtotal="0">
      <items count="4">
        <item x="3"/>
        <item x="2"/>
        <item x="0"/>
        <item x="1"/>
      </items>
    </pivotField>
    <pivotField showAll="0"/>
    <pivotField showAll="0">
      <items count="12">
        <item x="10"/>
        <item x="7"/>
        <item x="8"/>
        <item x="0"/>
        <item x="2"/>
        <item x="4"/>
        <item x="3"/>
        <item x="5"/>
        <item x="1"/>
        <item x="9"/>
        <item x="6"/>
        <item t="default"/>
      </items>
    </pivotField>
    <pivotField showAll="0"/>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s>
  <rowFields count="1">
    <field x="2"/>
  </rowFields>
  <rowItems count="5">
    <i>
      <x/>
    </i>
    <i>
      <x v="1"/>
    </i>
    <i>
      <x v="2"/>
    </i>
    <i>
      <x v="3"/>
    </i>
    <i t="grand">
      <x/>
    </i>
  </rowItems>
  <colItems count="1">
    <i/>
  </colItems>
  <dataFields count="1">
    <dataField name="Sum of Sales_Amount" fld="10" baseField="0" baseItem="0"/>
  </dataFields>
  <chartFormats count="7">
    <chartFormat chart="17"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2" count="1" selected="0">
            <x v="1"/>
          </reference>
        </references>
      </pivotArea>
    </chartFormat>
    <chartFormat chart="19" format="4">
      <pivotArea type="data" outline="0" fieldPosition="0">
        <references count="2">
          <reference field="4294967294" count="1" selected="0">
            <x v="0"/>
          </reference>
          <reference field="2" count="1" selected="0">
            <x v="3"/>
          </reference>
        </references>
      </pivotArea>
    </chartFormat>
    <chartFormat chart="19" format="5">
      <pivotArea type="data" outline="0" fieldPosition="0">
        <references count="2">
          <reference field="4294967294" count="1" selected="0">
            <x v="0"/>
          </reference>
          <reference field="2" count="1" selected="0">
            <x v="2"/>
          </reference>
        </references>
      </pivotArea>
    </chartFormat>
    <chartFormat chart="19" format="6">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60C73B47-702B-45B3-89F3-660180303282}" sourceName="Months (Order_Date)">
  <pivotTables>
    <pivotTable tabId="2" name="MONTHS1"/>
    <pivotTable tabId="2" name="SALES BY MONTHS"/>
    <pivotTable tabId="2" name="SALES BY REGION"/>
    <pivotTable tabId="2" name="SALES OF PRODUCTS"/>
    <pivotTable tabId="2" name="SALES OF PRODUCT BY QUANTITY"/>
    <pivotTable tabId="2" name="BOTTOM 3"/>
    <pivotTable tabId="2" name="TOP3"/>
    <pivotTable tabId="2" name="PivotTable12"/>
    <pivotTable tabId="2" name="PivotTable13"/>
    <pivotTable tabId="2" name="PivotTable14"/>
  </pivotTables>
  <data>
    <tabular pivotCacheId="1682037703">
      <items count="14">
        <i x="1" s="1"/>
        <i x="2" s="1"/>
        <i x="3" s="1"/>
        <i x="4" s="1"/>
        <i x="5" s="1"/>
        <i x="6" s="1"/>
        <i x="7" s="1" nd="1"/>
        <i x="8" s="1" nd="1"/>
        <i x="9" s="1" nd="1"/>
        <i x="10" s="1" nd="1"/>
        <i x="11" s="1" nd="1"/>
        <i x="12" s="1" nd="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8E4EE12-C32B-4A27-83EB-02861F973039}" sourceName="Region">
  <pivotTables>
    <pivotTable tabId="2" name="REGIONS1"/>
    <pivotTable tabId="2" name="SALES BY REGION"/>
    <pivotTable tabId="2" name="SALES OF PRODUCTS"/>
    <pivotTable tabId="2" name="SALES BY MONTHS"/>
    <pivotTable tabId="2" name="SALES OF PRODUCT BY QUANTITY"/>
    <pivotTable tabId="2" name="BOTTOM 3"/>
    <pivotTable tabId="2" name="TOP3"/>
    <pivotTable tabId="2" name="PivotTable12"/>
    <pivotTable tabId="2" name="PivotTable13"/>
    <pivotTable tabId="2" name="PivotTable14"/>
  </pivotTables>
  <data>
    <tabular pivotCacheId="1682037703">
      <items count="4">
        <i x="3" s="1"/>
        <i x="0" s="1"/>
        <i x="2"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92426D4-44DE-42B0-8304-577A1C907D51}" sourceName="Product">
  <pivotTables>
    <pivotTable tabId="2" name="PRODUCTS1"/>
    <pivotTable tabId="2" name="SALES BY MONTHS"/>
    <pivotTable tabId="2" name="SALES BY REGION"/>
    <pivotTable tabId="2" name="SALES OF PRODUCTS"/>
    <pivotTable tabId="2" name="SALES OF PRODUCT BY QUANTITY"/>
    <pivotTable tabId="2" name="PivotTable12"/>
    <pivotTable tabId="2" name="PivotTable13"/>
  </pivotTables>
  <data>
    <tabular pivotCacheId="1682037703">
      <items count="11">
        <i x="10" s="1"/>
        <i x="7" s="1"/>
        <i x="8" s="1"/>
        <i x="0" s="1"/>
        <i x="2" s="1"/>
        <i x="4" s="1"/>
        <i x="3" s="1"/>
        <i x="5" s="1"/>
        <i x="1" s="1"/>
        <i x="9" s="1"/>
        <i x="6"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_Date)" xr10:uid="{0A3190E1-6730-4085-89A1-C255DD682D48}" cache="Slicer_Months__Order_Date" caption="Months (Order_Date)" columnCount="3" showCaption="0" rowHeight="234950"/>
  <slicer name="Region" xr10:uid="{29E9EDA3-F384-4DF4-B29D-2306481C659F}" cache="Slicer_Region" caption="Region" columnCount="2" showCaption="0"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_Date) 1" xr10:uid="{FD547DD8-595C-4BDB-814D-7491299406E0}" cache="Slicer_Months__Order_Date" caption="Months (Order_Date)" columnCount="3" showCaption="0" rowHeight="234950"/>
  <slicer name="Region 1" xr10:uid="{5C20D826-3AEA-4A68-8362-BAE6787D4316}" cache="Slicer_Region" caption="Region" columnCount="2" showCaption="0" rowHeight="234950"/>
  <slicer name="Product 1" xr10:uid="{D1689DDA-A99A-4D8F-9F04-C5051F05B43A}" cache="Slicer_Product" caption="Product" columnCount="11" showCaption="0"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_Date) 2" xr10:uid="{04B1B796-9F97-4DE8-AC83-2E518C127697}" cache="Slicer_Months__Order_Date" caption="Months (Order_Date)" columnCount="3" showCaption="0" rowHeight="234950"/>
  <slicer name="Region 2" xr10:uid="{9D939BF3-4247-453F-806F-CA6089786B82}" cache="Slicer_Region" caption="Region" columnCount="2" showCaption="0" rowHeight="234950"/>
  <slicer name="Product 2" xr10:uid="{E30503CC-99B0-46C1-AB6B-B8B2C8636FA6}" cache="Slicer_Product" caption="Product" columnCount="11" showCaption="0"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_Date) 3" xr10:uid="{8DD8397C-AFAE-4620-9B00-4EB1C8AEA1C7}" cache="Slicer_Months__Order_Date" caption="Months (Order_Date)" columnCount="3" showCaption="0" rowHeight="234950"/>
  <slicer name="Region 3" xr10:uid="{D8C00DBB-CFF0-45C0-A419-D6B69A7E087F}" cache="Slicer_Region" caption="Region" columnCount="2" showCaption="0" rowHeight="234950"/>
  <slicer name="Product 3" xr10:uid="{ADA71C3F-259A-47D2-BF7D-A39F62260E7D}" cache="Slicer_Product" caption="Product" columnCount="11" showCaption="0"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26AA8-CA0E-4DDF-A306-366C4B0E8BB4}">
  <dimension ref="A1:M501"/>
  <sheetViews>
    <sheetView topLeftCell="A481" zoomScale="129" workbookViewId="0">
      <selection sqref="A1:K501"/>
    </sheetView>
  </sheetViews>
  <sheetFormatPr defaultRowHeight="14.4" x14ac:dyDescent="0.3"/>
  <cols>
    <col min="2" max="2" width="10.5546875" bestFit="1" customWidth="1"/>
    <col min="6" max="6" width="9.88671875" bestFit="1" customWidth="1"/>
  </cols>
  <sheetData>
    <row r="1" spans="1:13" x14ac:dyDescent="0.3">
      <c r="A1" t="s">
        <v>0</v>
      </c>
      <c r="B1" t="s">
        <v>1</v>
      </c>
      <c r="C1" t="s">
        <v>2</v>
      </c>
      <c r="D1" t="s">
        <v>3</v>
      </c>
      <c r="E1" t="s">
        <v>4</v>
      </c>
      <c r="F1" t="s">
        <v>5</v>
      </c>
      <c r="G1" t="s">
        <v>6</v>
      </c>
      <c r="H1" t="s">
        <v>7</v>
      </c>
      <c r="I1" t="s">
        <v>8</v>
      </c>
      <c r="J1" t="s">
        <v>9</v>
      </c>
      <c r="K1" t="s">
        <v>10</v>
      </c>
    </row>
    <row r="2" spans="1:13" x14ac:dyDescent="0.3">
      <c r="A2">
        <v>1001</v>
      </c>
      <c r="B2" s="1">
        <v>45400</v>
      </c>
      <c r="C2" t="s">
        <v>11</v>
      </c>
      <c r="D2" t="s">
        <v>12</v>
      </c>
      <c r="E2" t="s">
        <v>13</v>
      </c>
      <c r="F2" t="s">
        <v>14</v>
      </c>
      <c r="G2">
        <v>2</v>
      </c>
      <c r="H2">
        <v>500</v>
      </c>
      <c r="I2">
        <v>800</v>
      </c>
      <c r="J2">
        <v>605</v>
      </c>
      <c r="K2">
        <v>995</v>
      </c>
    </row>
    <row r="3" spans="1:13" x14ac:dyDescent="0.3">
      <c r="A3">
        <v>1002</v>
      </c>
      <c r="B3" s="1">
        <v>45309</v>
      </c>
      <c r="C3" t="s">
        <v>15</v>
      </c>
      <c r="D3" t="s">
        <v>16</v>
      </c>
      <c r="E3" t="s">
        <v>17</v>
      </c>
      <c r="F3" t="s">
        <v>14</v>
      </c>
      <c r="G3">
        <v>3</v>
      </c>
      <c r="H3">
        <v>8000</v>
      </c>
      <c r="I3">
        <v>9500</v>
      </c>
      <c r="J3">
        <v>731</v>
      </c>
      <c r="K3">
        <v>27769</v>
      </c>
    </row>
    <row r="4" spans="1:13" x14ac:dyDescent="0.3">
      <c r="A4">
        <v>1003</v>
      </c>
      <c r="B4" s="1">
        <v>45319</v>
      </c>
      <c r="C4" t="s">
        <v>18</v>
      </c>
      <c r="D4" t="s">
        <v>16</v>
      </c>
      <c r="E4" t="s">
        <v>19</v>
      </c>
      <c r="F4" t="s">
        <v>14</v>
      </c>
      <c r="G4">
        <v>1</v>
      </c>
      <c r="H4">
        <v>40000</v>
      </c>
      <c r="I4">
        <v>45000</v>
      </c>
      <c r="J4">
        <v>450</v>
      </c>
      <c r="K4">
        <v>44550</v>
      </c>
    </row>
    <row r="5" spans="1:13" x14ac:dyDescent="0.3">
      <c r="A5">
        <v>1004</v>
      </c>
      <c r="B5" s="1">
        <v>45359</v>
      </c>
      <c r="C5" t="s">
        <v>20</v>
      </c>
      <c r="D5" t="s">
        <v>21</v>
      </c>
      <c r="E5" t="s">
        <v>22</v>
      </c>
      <c r="F5" t="s">
        <v>14</v>
      </c>
      <c r="G5">
        <v>5</v>
      </c>
      <c r="H5">
        <v>300</v>
      </c>
      <c r="I5">
        <v>600</v>
      </c>
      <c r="J5">
        <v>782</v>
      </c>
      <c r="K5">
        <v>2218</v>
      </c>
      <c r="M5">
        <f>SUM(G2:G501)</f>
        <v>1736</v>
      </c>
    </row>
    <row r="6" spans="1:13" x14ac:dyDescent="0.3">
      <c r="A6">
        <v>1005</v>
      </c>
      <c r="B6" s="1">
        <v>45367</v>
      </c>
      <c r="C6" t="s">
        <v>15</v>
      </c>
      <c r="D6" t="s">
        <v>16</v>
      </c>
      <c r="E6" t="s">
        <v>19</v>
      </c>
      <c r="F6" t="s">
        <v>14</v>
      </c>
      <c r="G6">
        <v>6</v>
      </c>
      <c r="H6">
        <v>40000</v>
      </c>
      <c r="I6">
        <v>45000</v>
      </c>
      <c r="J6">
        <v>1917</v>
      </c>
      <c r="K6">
        <v>268083</v>
      </c>
      <c r="M6">
        <f>SUM(K2:K501)</f>
        <v>20498762</v>
      </c>
    </row>
    <row r="7" spans="1:13" x14ac:dyDescent="0.3">
      <c r="A7">
        <v>1006</v>
      </c>
      <c r="B7" s="1">
        <v>45444</v>
      </c>
      <c r="C7" t="s">
        <v>11</v>
      </c>
      <c r="D7" t="s">
        <v>21</v>
      </c>
      <c r="E7" t="s">
        <v>13</v>
      </c>
      <c r="F7" t="s">
        <v>14</v>
      </c>
      <c r="G7">
        <v>3</v>
      </c>
      <c r="H7">
        <v>500</v>
      </c>
      <c r="I7">
        <v>800</v>
      </c>
      <c r="J7">
        <v>1108</v>
      </c>
      <c r="K7">
        <v>1292</v>
      </c>
    </row>
    <row r="8" spans="1:13" x14ac:dyDescent="0.3">
      <c r="A8">
        <v>1007</v>
      </c>
      <c r="B8" s="1">
        <v>45445</v>
      </c>
      <c r="C8" t="s">
        <v>11</v>
      </c>
      <c r="D8" t="s">
        <v>23</v>
      </c>
      <c r="E8" t="s">
        <v>24</v>
      </c>
      <c r="F8" t="s">
        <v>14</v>
      </c>
      <c r="G8">
        <v>6</v>
      </c>
      <c r="H8">
        <v>7000</v>
      </c>
      <c r="I8">
        <v>9000</v>
      </c>
      <c r="J8">
        <v>1217</v>
      </c>
      <c r="K8">
        <v>52783</v>
      </c>
    </row>
    <row r="9" spans="1:13" x14ac:dyDescent="0.3">
      <c r="A9">
        <v>1008</v>
      </c>
      <c r="B9" s="1">
        <v>45413</v>
      </c>
      <c r="C9" t="s">
        <v>15</v>
      </c>
      <c r="D9" t="s">
        <v>16</v>
      </c>
      <c r="E9" t="s">
        <v>25</v>
      </c>
      <c r="F9" t="s">
        <v>14</v>
      </c>
      <c r="G9">
        <v>3</v>
      </c>
      <c r="H9">
        <v>15000</v>
      </c>
      <c r="I9">
        <v>18000</v>
      </c>
      <c r="J9">
        <v>527</v>
      </c>
      <c r="K9">
        <v>53473</v>
      </c>
    </row>
    <row r="10" spans="1:13" x14ac:dyDescent="0.3">
      <c r="A10">
        <v>1009</v>
      </c>
      <c r="B10" s="1">
        <v>45299</v>
      </c>
      <c r="C10" t="s">
        <v>18</v>
      </c>
      <c r="D10" t="s">
        <v>23</v>
      </c>
      <c r="E10" t="s">
        <v>26</v>
      </c>
      <c r="F10" t="s">
        <v>27</v>
      </c>
      <c r="G10">
        <v>3</v>
      </c>
      <c r="H10">
        <v>5000</v>
      </c>
      <c r="I10">
        <v>6500</v>
      </c>
      <c r="J10">
        <v>1390</v>
      </c>
      <c r="K10">
        <v>18110</v>
      </c>
    </row>
    <row r="11" spans="1:13" x14ac:dyDescent="0.3">
      <c r="A11">
        <v>1010</v>
      </c>
      <c r="B11" s="1">
        <v>45346</v>
      </c>
      <c r="C11" t="s">
        <v>15</v>
      </c>
      <c r="D11" t="s">
        <v>23</v>
      </c>
      <c r="E11" t="s">
        <v>22</v>
      </c>
      <c r="F11" t="s">
        <v>14</v>
      </c>
      <c r="G11">
        <v>3</v>
      </c>
      <c r="H11">
        <v>300</v>
      </c>
      <c r="I11">
        <v>600</v>
      </c>
      <c r="J11">
        <v>1965</v>
      </c>
      <c r="K11">
        <v>-165</v>
      </c>
    </row>
    <row r="12" spans="1:13" x14ac:dyDescent="0.3">
      <c r="A12">
        <v>1011</v>
      </c>
      <c r="B12" s="1">
        <v>45460</v>
      </c>
      <c r="C12" t="s">
        <v>18</v>
      </c>
      <c r="D12" t="s">
        <v>28</v>
      </c>
      <c r="E12" t="s">
        <v>29</v>
      </c>
      <c r="F12" t="s">
        <v>27</v>
      </c>
      <c r="G12">
        <v>1</v>
      </c>
      <c r="H12">
        <v>4000</v>
      </c>
      <c r="I12">
        <v>5500</v>
      </c>
      <c r="J12">
        <v>739</v>
      </c>
      <c r="K12">
        <v>4761</v>
      </c>
    </row>
    <row r="13" spans="1:13" x14ac:dyDescent="0.3">
      <c r="A13">
        <v>1012</v>
      </c>
      <c r="B13" s="1">
        <v>45395</v>
      </c>
      <c r="C13" t="s">
        <v>15</v>
      </c>
      <c r="D13" t="s">
        <v>28</v>
      </c>
      <c r="E13" t="s">
        <v>13</v>
      </c>
      <c r="F13" t="s">
        <v>14</v>
      </c>
      <c r="G13">
        <v>2</v>
      </c>
      <c r="H13">
        <v>500</v>
      </c>
      <c r="I13">
        <v>800</v>
      </c>
      <c r="J13">
        <v>325</v>
      </c>
      <c r="K13">
        <v>1275</v>
      </c>
    </row>
    <row r="14" spans="1:13" x14ac:dyDescent="0.3">
      <c r="A14">
        <v>1013</v>
      </c>
      <c r="B14" s="1">
        <v>45393</v>
      </c>
      <c r="C14" t="s">
        <v>20</v>
      </c>
      <c r="D14" t="s">
        <v>30</v>
      </c>
      <c r="E14" t="s">
        <v>19</v>
      </c>
      <c r="F14" t="s">
        <v>14</v>
      </c>
      <c r="G14">
        <v>3</v>
      </c>
      <c r="H14">
        <v>40000</v>
      </c>
      <c r="I14">
        <v>45000</v>
      </c>
      <c r="J14">
        <v>633</v>
      </c>
      <c r="K14">
        <v>134367</v>
      </c>
    </row>
    <row r="15" spans="1:13" x14ac:dyDescent="0.3">
      <c r="A15">
        <v>1014</v>
      </c>
      <c r="B15" s="1">
        <v>45338</v>
      </c>
      <c r="C15" t="s">
        <v>18</v>
      </c>
      <c r="D15" t="s">
        <v>21</v>
      </c>
      <c r="E15" t="s">
        <v>17</v>
      </c>
      <c r="F15" t="s">
        <v>14</v>
      </c>
      <c r="G15">
        <v>4</v>
      </c>
      <c r="H15">
        <v>8000</v>
      </c>
      <c r="I15">
        <v>9500</v>
      </c>
      <c r="J15">
        <v>1468</v>
      </c>
      <c r="K15">
        <v>36532</v>
      </c>
    </row>
    <row r="16" spans="1:13" x14ac:dyDescent="0.3">
      <c r="A16">
        <v>1015</v>
      </c>
      <c r="B16" s="1">
        <v>45372</v>
      </c>
      <c r="C16" t="s">
        <v>11</v>
      </c>
      <c r="D16" t="s">
        <v>12</v>
      </c>
      <c r="E16" t="s">
        <v>26</v>
      </c>
      <c r="F16" t="s">
        <v>27</v>
      </c>
      <c r="G16">
        <v>4</v>
      </c>
      <c r="H16">
        <v>5000</v>
      </c>
      <c r="I16">
        <v>6500</v>
      </c>
      <c r="J16">
        <v>1555</v>
      </c>
      <c r="K16">
        <v>24445</v>
      </c>
    </row>
    <row r="17" spans="1:11" x14ac:dyDescent="0.3">
      <c r="A17">
        <v>1016</v>
      </c>
      <c r="B17" s="1">
        <v>45377</v>
      </c>
      <c r="C17" t="s">
        <v>15</v>
      </c>
      <c r="D17" t="s">
        <v>28</v>
      </c>
      <c r="E17" t="s">
        <v>31</v>
      </c>
      <c r="F17" t="s">
        <v>14</v>
      </c>
      <c r="G17">
        <v>3</v>
      </c>
      <c r="H17">
        <v>1000</v>
      </c>
      <c r="I17">
        <v>1500</v>
      </c>
      <c r="J17">
        <v>193</v>
      </c>
      <c r="K17">
        <v>4307</v>
      </c>
    </row>
    <row r="18" spans="1:11" x14ac:dyDescent="0.3">
      <c r="A18">
        <v>1017</v>
      </c>
      <c r="B18" s="1">
        <v>45379</v>
      </c>
      <c r="C18" t="s">
        <v>11</v>
      </c>
      <c r="D18" t="s">
        <v>30</v>
      </c>
      <c r="E18" t="s">
        <v>13</v>
      </c>
      <c r="F18" t="s">
        <v>14</v>
      </c>
      <c r="G18">
        <v>2</v>
      </c>
      <c r="H18">
        <v>500</v>
      </c>
      <c r="I18">
        <v>800</v>
      </c>
      <c r="J18">
        <v>816</v>
      </c>
      <c r="K18">
        <v>784</v>
      </c>
    </row>
    <row r="19" spans="1:11" x14ac:dyDescent="0.3">
      <c r="A19">
        <v>1018</v>
      </c>
      <c r="B19" s="1">
        <v>45453</v>
      </c>
      <c r="C19" t="s">
        <v>20</v>
      </c>
      <c r="D19" t="s">
        <v>30</v>
      </c>
      <c r="E19" t="s">
        <v>19</v>
      </c>
      <c r="F19" t="s">
        <v>14</v>
      </c>
      <c r="G19">
        <v>1</v>
      </c>
      <c r="H19">
        <v>40000</v>
      </c>
      <c r="I19">
        <v>45000</v>
      </c>
      <c r="J19">
        <v>947</v>
      </c>
      <c r="K19">
        <v>44053</v>
      </c>
    </row>
    <row r="20" spans="1:11" x14ac:dyDescent="0.3">
      <c r="A20">
        <v>1019</v>
      </c>
      <c r="B20" s="1">
        <v>45377</v>
      </c>
      <c r="C20" t="s">
        <v>20</v>
      </c>
      <c r="D20" t="s">
        <v>28</v>
      </c>
      <c r="E20" t="s">
        <v>24</v>
      </c>
      <c r="F20" t="s">
        <v>14</v>
      </c>
      <c r="G20">
        <v>2</v>
      </c>
      <c r="H20">
        <v>7000</v>
      </c>
      <c r="I20">
        <v>9000</v>
      </c>
      <c r="J20">
        <v>993</v>
      </c>
      <c r="K20">
        <v>17007</v>
      </c>
    </row>
    <row r="21" spans="1:11" x14ac:dyDescent="0.3">
      <c r="A21">
        <v>1020</v>
      </c>
      <c r="B21" s="1">
        <v>45428</v>
      </c>
      <c r="C21" t="s">
        <v>15</v>
      </c>
      <c r="D21" t="s">
        <v>30</v>
      </c>
      <c r="E21" t="s">
        <v>22</v>
      </c>
      <c r="F21" t="s">
        <v>14</v>
      </c>
      <c r="G21">
        <v>5</v>
      </c>
      <c r="H21">
        <v>300</v>
      </c>
      <c r="I21">
        <v>600</v>
      </c>
      <c r="J21">
        <v>139</v>
      </c>
      <c r="K21">
        <v>2861</v>
      </c>
    </row>
    <row r="22" spans="1:11" x14ac:dyDescent="0.3">
      <c r="A22">
        <v>1021</v>
      </c>
      <c r="B22" s="1">
        <v>45337</v>
      </c>
      <c r="C22" t="s">
        <v>18</v>
      </c>
      <c r="D22" t="s">
        <v>30</v>
      </c>
      <c r="E22" t="s">
        <v>25</v>
      </c>
      <c r="F22" t="s">
        <v>14</v>
      </c>
      <c r="G22">
        <v>3</v>
      </c>
      <c r="H22">
        <v>15000</v>
      </c>
      <c r="I22">
        <v>18000</v>
      </c>
      <c r="J22">
        <v>1323</v>
      </c>
      <c r="K22">
        <v>52677</v>
      </c>
    </row>
    <row r="23" spans="1:11" x14ac:dyDescent="0.3">
      <c r="A23">
        <v>1022</v>
      </c>
      <c r="B23" s="1">
        <v>45429</v>
      </c>
      <c r="C23" t="s">
        <v>18</v>
      </c>
      <c r="D23" t="s">
        <v>30</v>
      </c>
      <c r="E23" t="s">
        <v>26</v>
      </c>
      <c r="F23" t="s">
        <v>27</v>
      </c>
      <c r="G23">
        <v>1</v>
      </c>
      <c r="H23">
        <v>5000</v>
      </c>
      <c r="I23">
        <v>6500</v>
      </c>
      <c r="J23">
        <v>502</v>
      </c>
      <c r="K23">
        <v>5998</v>
      </c>
    </row>
    <row r="24" spans="1:11" x14ac:dyDescent="0.3">
      <c r="A24">
        <v>1023</v>
      </c>
      <c r="B24" s="1">
        <v>45373</v>
      </c>
      <c r="C24" t="s">
        <v>18</v>
      </c>
      <c r="D24" t="s">
        <v>30</v>
      </c>
      <c r="E24" t="s">
        <v>22</v>
      </c>
      <c r="F24" t="s">
        <v>14</v>
      </c>
      <c r="G24">
        <v>6</v>
      </c>
      <c r="H24">
        <v>300</v>
      </c>
      <c r="I24">
        <v>600</v>
      </c>
      <c r="J24">
        <v>1576</v>
      </c>
      <c r="K24">
        <v>2024</v>
      </c>
    </row>
    <row r="25" spans="1:11" x14ac:dyDescent="0.3">
      <c r="A25">
        <v>1024</v>
      </c>
      <c r="B25" s="1">
        <v>45458</v>
      </c>
      <c r="C25" t="s">
        <v>18</v>
      </c>
      <c r="D25" t="s">
        <v>30</v>
      </c>
      <c r="E25" t="s">
        <v>29</v>
      </c>
      <c r="F25" t="s">
        <v>27</v>
      </c>
      <c r="G25">
        <v>6</v>
      </c>
      <c r="H25">
        <v>4000</v>
      </c>
      <c r="I25">
        <v>5500</v>
      </c>
      <c r="J25">
        <v>684</v>
      </c>
      <c r="K25">
        <v>32316</v>
      </c>
    </row>
    <row r="26" spans="1:11" x14ac:dyDescent="0.3">
      <c r="A26">
        <v>1025</v>
      </c>
      <c r="B26" s="1">
        <v>45451</v>
      </c>
      <c r="C26" t="s">
        <v>18</v>
      </c>
      <c r="D26" t="s">
        <v>23</v>
      </c>
      <c r="E26" t="s">
        <v>31</v>
      </c>
      <c r="F26" t="s">
        <v>14</v>
      </c>
      <c r="G26">
        <v>1</v>
      </c>
      <c r="H26">
        <v>1000</v>
      </c>
      <c r="I26">
        <v>1500</v>
      </c>
      <c r="J26">
        <v>75</v>
      </c>
      <c r="K26">
        <v>1425</v>
      </c>
    </row>
    <row r="27" spans="1:11" x14ac:dyDescent="0.3">
      <c r="A27">
        <v>1026</v>
      </c>
      <c r="B27" s="1">
        <v>45445</v>
      </c>
      <c r="C27" t="s">
        <v>11</v>
      </c>
      <c r="D27" t="s">
        <v>28</v>
      </c>
      <c r="E27" t="s">
        <v>25</v>
      </c>
      <c r="F27" t="s">
        <v>14</v>
      </c>
      <c r="G27">
        <v>5</v>
      </c>
      <c r="H27">
        <v>15000</v>
      </c>
      <c r="I27">
        <v>18000</v>
      </c>
      <c r="J27">
        <v>1807</v>
      </c>
      <c r="K27">
        <v>88193</v>
      </c>
    </row>
    <row r="28" spans="1:11" x14ac:dyDescent="0.3">
      <c r="A28">
        <v>1027</v>
      </c>
      <c r="B28" s="1">
        <v>45422</v>
      </c>
      <c r="C28" t="s">
        <v>15</v>
      </c>
      <c r="D28" t="s">
        <v>23</v>
      </c>
      <c r="E28" t="s">
        <v>31</v>
      </c>
      <c r="F28" t="s">
        <v>14</v>
      </c>
      <c r="G28">
        <v>2</v>
      </c>
      <c r="H28">
        <v>1000</v>
      </c>
      <c r="I28">
        <v>1500</v>
      </c>
      <c r="J28">
        <v>4</v>
      </c>
      <c r="K28">
        <v>2996</v>
      </c>
    </row>
    <row r="29" spans="1:11" x14ac:dyDescent="0.3">
      <c r="A29">
        <v>1028</v>
      </c>
      <c r="B29" s="1">
        <v>45346</v>
      </c>
      <c r="C29" t="s">
        <v>20</v>
      </c>
      <c r="D29" t="s">
        <v>16</v>
      </c>
      <c r="E29" t="s">
        <v>26</v>
      </c>
      <c r="F29" t="s">
        <v>27</v>
      </c>
      <c r="G29">
        <v>2</v>
      </c>
      <c r="H29">
        <v>5000</v>
      </c>
      <c r="I29">
        <v>6500</v>
      </c>
      <c r="J29">
        <v>1666</v>
      </c>
      <c r="K29">
        <v>11334</v>
      </c>
    </row>
    <row r="30" spans="1:11" x14ac:dyDescent="0.3">
      <c r="A30">
        <v>1029</v>
      </c>
      <c r="B30" s="1">
        <v>45355</v>
      </c>
      <c r="C30" t="s">
        <v>11</v>
      </c>
      <c r="D30" t="s">
        <v>23</v>
      </c>
      <c r="E30" t="s">
        <v>26</v>
      </c>
      <c r="F30" t="s">
        <v>27</v>
      </c>
      <c r="G30">
        <v>2</v>
      </c>
      <c r="H30">
        <v>5000</v>
      </c>
      <c r="I30">
        <v>6500</v>
      </c>
      <c r="J30">
        <v>576</v>
      </c>
      <c r="K30">
        <v>12424</v>
      </c>
    </row>
    <row r="31" spans="1:11" x14ac:dyDescent="0.3">
      <c r="A31">
        <v>1030</v>
      </c>
      <c r="B31" s="1">
        <v>45297</v>
      </c>
      <c r="C31" t="s">
        <v>20</v>
      </c>
      <c r="D31" t="s">
        <v>21</v>
      </c>
      <c r="E31" t="s">
        <v>22</v>
      </c>
      <c r="F31" t="s">
        <v>14</v>
      </c>
      <c r="G31">
        <v>1</v>
      </c>
      <c r="H31">
        <v>300</v>
      </c>
      <c r="I31">
        <v>600</v>
      </c>
      <c r="J31">
        <v>1551</v>
      </c>
      <c r="K31">
        <v>-951</v>
      </c>
    </row>
    <row r="32" spans="1:11" x14ac:dyDescent="0.3">
      <c r="A32">
        <v>1031</v>
      </c>
      <c r="B32" s="1">
        <v>45423</v>
      </c>
      <c r="C32" t="s">
        <v>20</v>
      </c>
      <c r="D32" t="s">
        <v>16</v>
      </c>
      <c r="E32" t="s">
        <v>25</v>
      </c>
      <c r="F32" t="s">
        <v>14</v>
      </c>
      <c r="G32">
        <v>3</v>
      </c>
      <c r="H32">
        <v>15000</v>
      </c>
      <c r="I32">
        <v>18000</v>
      </c>
      <c r="J32">
        <v>980</v>
      </c>
      <c r="K32">
        <v>53020</v>
      </c>
    </row>
    <row r="33" spans="1:11" x14ac:dyDescent="0.3">
      <c r="A33">
        <v>1032</v>
      </c>
      <c r="B33" s="1">
        <v>45345</v>
      </c>
      <c r="C33" t="s">
        <v>15</v>
      </c>
      <c r="D33" t="s">
        <v>28</v>
      </c>
      <c r="E33" t="s">
        <v>24</v>
      </c>
      <c r="F33" t="s">
        <v>14</v>
      </c>
      <c r="G33">
        <v>4</v>
      </c>
      <c r="H33">
        <v>7000</v>
      </c>
      <c r="I33">
        <v>9000</v>
      </c>
      <c r="J33">
        <v>426</v>
      </c>
      <c r="K33">
        <v>35574</v>
      </c>
    </row>
    <row r="34" spans="1:11" x14ac:dyDescent="0.3">
      <c r="A34">
        <v>1033</v>
      </c>
      <c r="B34" s="1">
        <v>45466</v>
      </c>
      <c r="C34" t="s">
        <v>20</v>
      </c>
      <c r="D34" t="s">
        <v>28</v>
      </c>
      <c r="E34" t="s">
        <v>25</v>
      </c>
      <c r="F34" t="s">
        <v>14</v>
      </c>
      <c r="G34">
        <v>2</v>
      </c>
      <c r="H34">
        <v>15000</v>
      </c>
      <c r="I34">
        <v>18000</v>
      </c>
      <c r="J34">
        <v>1447</v>
      </c>
      <c r="K34">
        <v>34553</v>
      </c>
    </row>
    <row r="35" spans="1:11" x14ac:dyDescent="0.3">
      <c r="A35">
        <v>1034</v>
      </c>
      <c r="B35" s="1">
        <v>45418</v>
      </c>
      <c r="C35" t="s">
        <v>20</v>
      </c>
      <c r="D35" t="s">
        <v>23</v>
      </c>
      <c r="E35" t="s">
        <v>19</v>
      </c>
      <c r="F35" t="s">
        <v>14</v>
      </c>
      <c r="G35">
        <v>2</v>
      </c>
      <c r="H35">
        <v>40000</v>
      </c>
      <c r="I35">
        <v>45000</v>
      </c>
      <c r="J35">
        <v>43</v>
      </c>
      <c r="K35">
        <v>89957</v>
      </c>
    </row>
    <row r="36" spans="1:11" x14ac:dyDescent="0.3">
      <c r="A36">
        <v>1035</v>
      </c>
      <c r="B36" s="1">
        <v>45361</v>
      </c>
      <c r="C36" t="s">
        <v>20</v>
      </c>
      <c r="D36" t="s">
        <v>30</v>
      </c>
      <c r="E36" t="s">
        <v>31</v>
      </c>
      <c r="F36" t="s">
        <v>14</v>
      </c>
      <c r="G36">
        <v>2</v>
      </c>
      <c r="H36">
        <v>1000</v>
      </c>
      <c r="I36">
        <v>1500</v>
      </c>
      <c r="J36">
        <v>1479</v>
      </c>
      <c r="K36">
        <v>1521</v>
      </c>
    </row>
    <row r="37" spans="1:11" x14ac:dyDescent="0.3">
      <c r="A37">
        <v>1036</v>
      </c>
      <c r="B37" s="1">
        <v>45402</v>
      </c>
      <c r="C37" t="s">
        <v>11</v>
      </c>
      <c r="D37" t="s">
        <v>21</v>
      </c>
      <c r="E37" t="s">
        <v>31</v>
      </c>
      <c r="F37" t="s">
        <v>14</v>
      </c>
      <c r="G37">
        <v>2</v>
      </c>
      <c r="H37">
        <v>1000</v>
      </c>
      <c r="I37">
        <v>1500</v>
      </c>
      <c r="J37">
        <v>1036</v>
      </c>
      <c r="K37">
        <v>1964</v>
      </c>
    </row>
    <row r="38" spans="1:11" x14ac:dyDescent="0.3">
      <c r="A38">
        <v>1037</v>
      </c>
      <c r="B38" s="1">
        <v>45442</v>
      </c>
      <c r="C38" t="s">
        <v>11</v>
      </c>
      <c r="D38" t="s">
        <v>28</v>
      </c>
      <c r="E38" t="s">
        <v>22</v>
      </c>
      <c r="F38" t="s">
        <v>14</v>
      </c>
      <c r="G38">
        <v>4</v>
      </c>
      <c r="H38">
        <v>300</v>
      </c>
      <c r="I38">
        <v>600</v>
      </c>
      <c r="J38">
        <v>482</v>
      </c>
      <c r="K38">
        <v>1918</v>
      </c>
    </row>
    <row r="39" spans="1:11" x14ac:dyDescent="0.3">
      <c r="A39">
        <v>1038</v>
      </c>
      <c r="B39" s="1">
        <v>45365</v>
      </c>
      <c r="C39" t="s">
        <v>11</v>
      </c>
      <c r="D39" t="s">
        <v>28</v>
      </c>
      <c r="E39" t="s">
        <v>31</v>
      </c>
      <c r="F39" t="s">
        <v>14</v>
      </c>
      <c r="G39">
        <v>3</v>
      </c>
      <c r="H39">
        <v>1000</v>
      </c>
      <c r="I39">
        <v>1500</v>
      </c>
      <c r="J39">
        <v>381</v>
      </c>
      <c r="K39">
        <v>4119</v>
      </c>
    </row>
    <row r="40" spans="1:11" x14ac:dyDescent="0.3">
      <c r="A40">
        <v>1039</v>
      </c>
      <c r="B40" s="1">
        <v>45451</v>
      </c>
      <c r="C40" t="s">
        <v>20</v>
      </c>
      <c r="D40" t="s">
        <v>23</v>
      </c>
      <c r="E40" t="s">
        <v>22</v>
      </c>
      <c r="F40" t="s">
        <v>14</v>
      </c>
      <c r="G40">
        <v>1</v>
      </c>
      <c r="H40">
        <v>300</v>
      </c>
      <c r="I40">
        <v>600</v>
      </c>
      <c r="J40">
        <v>1655</v>
      </c>
      <c r="K40">
        <v>-1055</v>
      </c>
    </row>
    <row r="41" spans="1:11" x14ac:dyDescent="0.3">
      <c r="A41">
        <v>1040</v>
      </c>
      <c r="B41" s="1">
        <v>45351</v>
      </c>
      <c r="C41" t="s">
        <v>18</v>
      </c>
      <c r="D41" t="s">
        <v>21</v>
      </c>
      <c r="E41" t="s">
        <v>29</v>
      </c>
      <c r="F41" t="s">
        <v>27</v>
      </c>
      <c r="G41">
        <v>2</v>
      </c>
      <c r="H41">
        <v>4000</v>
      </c>
      <c r="I41">
        <v>5500</v>
      </c>
      <c r="J41">
        <v>597</v>
      </c>
      <c r="K41">
        <v>10403</v>
      </c>
    </row>
    <row r="42" spans="1:11" x14ac:dyDescent="0.3">
      <c r="A42">
        <v>1041</v>
      </c>
      <c r="B42" s="1">
        <v>45408</v>
      </c>
      <c r="C42" t="s">
        <v>11</v>
      </c>
      <c r="D42" t="s">
        <v>16</v>
      </c>
      <c r="E42" t="s">
        <v>24</v>
      </c>
      <c r="F42" t="s">
        <v>14</v>
      </c>
      <c r="G42">
        <v>2</v>
      </c>
      <c r="H42">
        <v>7000</v>
      </c>
      <c r="I42">
        <v>9000</v>
      </c>
      <c r="J42">
        <v>1152</v>
      </c>
      <c r="K42">
        <v>16848</v>
      </c>
    </row>
    <row r="43" spans="1:11" x14ac:dyDescent="0.3">
      <c r="A43">
        <v>1042</v>
      </c>
      <c r="B43" s="1">
        <v>45434</v>
      </c>
      <c r="C43" t="s">
        <v>15</v>
      </c>
      <c r="D43" t="s">
        <v>12</v>
      </c>
      <c r="E43" t="s">
        <v>25</v>
      </c>
      <c r="F43" t="s">
        <v>14</v>
      </c>
      <c r="G43">
        <v>5</v>
      </c>
      <c r="H43">
        <v>15000</v>
      </c>
      <c r="I43">
        <v>18000</v>
      </c>
      <c r="J43">
        <v>308</v>
      </c>
      <c r="K43">
        <v>89692</v>
      </c>
    </row>
    <row r="44" spans="1:11" x14ac:dyDescent="0.3">
      <c r="A44">
        <v>1043</v>
      </c>
      <c r="B44" s="1">
        <v>45349</v>
      </c>
      <c r="C44" t="s">
        <v>15</v>
      </c>
      <c r="D44" t="s">
        <v>23</v>
      </c>
      <c r="E44" t="s">
        <v>19</v>
      </c>
      <c r="F44" t="s">
        <v>14</v>
      </c>
      <c r="G44">
        <v>2</v>
      </c>
      <c r="H44">
        <v>40000</v>
      </c>
      <c r="I44">
        <v>45000</v>
      </c>
      <c r="J44">
        <v>561</v>
      </c>
      <c r="K44">
        <v>89439</v>
      </c>
    </row>
    <row r="45" spans="1:11" x14ac:dyDescent="0.3">
      <c r="A45">
        <v>1044</v>
      </c>
      <c r="B45" s="1">
        <v>45400</v>
      </c>
      <c r="C45" t="s">
        <v>20</v>
      </c>
      <c r="D45" t="s">
        <v>21</v>
      </c>
      <c r="E45" t="s">
        <v>24</v>
      </c>
      <c r="F45" t="s">
        <v>14</v>
      </c>
      <c r="G45">
        <v>4</v>
      </c>
      <c r="H45">
        <v>7000</v>
      </c>
      <c r="I45">
        <v>9000</v>
      </c>
      <c r="J45">
        <v>1772</v>
      </c>
      <c r="K45">
        <v>34228</v>
      </c>
    </row>
    <row r="46" spans="1:11" x14ac:dyDescent="0.3">
      <c r="A46">
        <v>1045</v>
      </c>
      <c r="B46" s="1">
        <v>45388</v>
      </c>
      <c r="C46" t="s">
        <v>15</v>
      </c>
      <c r="D46" t="s">
        <v>23</v>
      </c>
      <c r="E46" t="s">
        <v>31</v>
      </c>
      <c r="F46" t="s">
        <v>14</v>
      </c>
      <c r="G46">
        <v>5</v>
      </c>
      <c r="H46">
        <v>1000</v>
      </c>
      <c r="I46">
        <v>1500</v>
      </c>
      <c r="J46">
        <v>1740</v>
      </c>
      <c r="K46">
        <v>5760</v>
      </c>
    </row>
    <row r="47" spans="1:11" x14ac:dyDescent="0.3">
      <c r="A47">
        <v>1046</v>
      </c>
      <c r="B47" s="1">
        <v>45306</v>
      </c>
      <c r="C47" t="s">
        <v>11</v>
      </c>
      <c r="D47" t="s">
        <v>16</v>
      </c>
      <c r="E47" t="s">
        <v>25</v>
      </c>
      <c r="F47" t="s">
        <v>14</v>
      </c>
      <c r="G47">
        <v>3</v>
      </c>
      <c r="H47">
        <v>15000</v>
      </c>
      <c r="I47">
        <v>18000</v>
      </c>
      <c r="J47">
        <v>429</v>
      </c>
      <c r="K47">
        <v>53571</v>
      </c>
    </row>
    <row r="48" spans="1:11" x14ac:dyDescent="0.3">
      <c r="A48">
        <v>1047</v>
      </c>
      <c r="B48" s="1">
        <v>45416</v>
      </c>
      <c r="C48" t="s">
        <v>20</v>
      </c>
      <c r="D48" t="s">
        <v>21</v>
      </c>
      <c r="E48" t="s">
        <v>19</v>
      </c>
      <c r="F48" t="s">
        <v>14</v>
      </c>
      <c r="G48">
        <v>2</v>
      </c>
      <c r="H48">
        <v>40000</v>
      </c>
      <c r="I48">
        <v>45000</v>
      </c>
      <c r="J48">
        <v>533</v>
      </c>
      <c r="K48">
        <v>89467</v>
      </c>
    </row>
    <row r="49" spans="1:11" x14ac:dyDescent="0.3">
      <c r="A49">
        <v>1048</v>
      </c>
      <c r="B49" s="1">
        <v>45420</v>
      </c>
      <c r="C49" t="s">
        <v>11</v>
      </c>
      <c r="D49" t="s">
        <v>16</v>
      </c>
      <c r="E49" t="s">
        <v>17</v>
      </c>
      <c r="F49" t="s">
        <v>14</v>
      </c>
      <c r="G49">
        <v>6</v>
      </c>
      <c r="H49">
        <v>8000</v>
      </c>
      <c r="I49">
        <v>9500</v>
      </c>
      <c r="J49">
        <v>117</v>
      </c>
      <c r="K49">
        <v>56883</v>
      </c>
    </row>
    <row r="50" spans="1:11" x14ac:dyDescent="0.3">
      <c r="A50">
        <v>1049</v>
      </c>
      <c r="B50" s="1">
        <v>45340</v>
      </c>
      <c r="C50" t="s">
        <v>11</v>
      </c>
      <c r="D50" t="s">
        <v>16</v>
      </c>
      <c r="E50" t="s">
        <v>19</v>
      </c>
      <c r="F50" t="s">
        <v>14</v>
      </c>
      <c r="G50">
        <v>6</v>
      </c>
      <c r="H50">
        <v>40000</v>
      </c>
      <c r="I50">
        <v>45000</v>
      </c>
      <c r="J50">
        <v>1921</v>
      </c>
      <c r="K50">
        <v>268079</v>
      </c>
    </row>
    <row r="51" spans="1:11" x14ac:dyDescent="0.3">
      <c r="A51">
        <v>1050</v>
      </c>
      <c r="B51" s="1">
        <v>45326</v>
      </c>
      <c r="C51" t="s">
        <v>15</v>
      </c>
      <c r="D51" t="s">
        <v>28</v>
      </c>
      <c r="E51" t="s">
        <v>22</v>
      </c>
      <c r="F51" t="s">
        <v>14</v>
      </c>
      <c r="G51">
        <v>5</v>
      </c>
      <c r="H51">
        <v>300</v>
      </c>
      <c r="I51">
        <v>600</v>
      </c>
      <c r="J51">
        <v>1430</v>
      </c>
      <c r="K51">
        <v>1570</v>
      </c>
    </row>
    <row r="52" spans="1:11" x14ac:dyDescent="0.3">
      <c r="A52">
        <v>1051</v>
      </c>
      <c r="B52" s="1">
        <v>45437</v>
      </c>
      <c r="C52" t="s">
        <v>20</v>
      </c>
      <c r="D52" t="s">
        <v>21</v>
      </c>
      <c r="E52" t="s">
        <v>13</v>
      </c>
      <c r="F52" t="s">
        <v>14</v>
      </c>
      <c r="G52">
        <v>2</v>
      </c>
      <c r="H52">
        <v>500</v>
      </c>
      <c r="I52">
        <v>800</v>
      </c>
      <c r="J52">
        <v>1387</v>
      </c>
      <c r="K52">
        <v>213</v>
      </c>
    </row>
    <row r="53" spans="1:11" x14ac:dyDescent="0.3">
      <c r="A53">
        <v>1052</v>
      </c>
      <c r="B53" s="1">
        <v>45425</v>
      </c>
      <c r="C53" t="s">
        <v>18</v>
      </c>
      <c r="D53" t="s">
        <v>21</v>
      </c>
      <c r="E53" t="s">
        <v>26</v>
      </c>
      <c r="F53" t="s">
        <v>27</v>
      </c>
      <c r="G53">
        <v>6</v>
      </c>
      <c r="H53">
        <v>5000</v>
      </c>
      <c r="I53">
        <v>6500</v>
      </c>
      <c r="J53">
        <v>356</v>
      </c>
      <c r="K53">
        <v>38644</v>
      </c>
    </row>
    <row r="54" spans="1:11" x14ac:dyDescent="0.3">
      <c r="A54">
        <v>1053</v>
      </c>
      <c r="B54" s="1">
        <v>45376</v>
      </c>
      <c r="C54" t="s">
        <v>15</v>
      </c>
      <c r="D54" t="s">
        <v>12</v>
      </c>
      <c r="E54" t="s">
        <v>25</v>
      </c>
      <c r="F54" t="s">
        <v>14</v>
      </c>
      <c r="G54">
        <v>3</v>
      </c>
      <c r="H54">
        <v>15000</v>
      </c>
      <c r="I54">
        <v>18000</v>
      </c>
      <c r="J54">
        <v>1313</v>
      </c>
      <c r="K54">
        <v>52687</v>
      </c>
    </row>
    <row r="55" spans="1:11" x14ac:dyDescent="0.3">
      <c r="A55">
        <v>1054</v>
      </c>
      <c r="B55" s="1">
        <v>45387</v>
      </c>
      <c r="C55" t="s">
        <v>18</v>
      </c>
      <c r="D55" t="s">
        <v>21</v>
      </c>
      <c r="E55" t="s">
        <v>19</v>
      </c>
      <c r="F55" t="s">
        <v>14</v>
      </c>
      <c r="G55">
        <v>6</v>
      </c>
      <c r="H55">
        <v>40000</v>
      </c>
      <c r="I55">
        <v>45000</v>
      </c>
      <c r="J55">
        <v>1186</v>
      </c>
      <c r="K55">
        <v>268814</v>
      </c>
    </row>
    <row r="56" spans="1:11" x14ac:dyDescent="0.3">
      <c r="A56">
        <v>1055</v>
      </c>
      <c r="B56" s="1">
        <v>45468</v>
      </c>
      <c r="C56" t="s">
        <v>18</v>
      </c>
      <c r="D56" t="s">
        <v>12</v>
      </c>
      <c r="E56" t="s">
        <v>31</v>
      </c>
      <c r="F56" t="s">
        <v>14</v>
      </c>
      <c r="G56">
        <v>2</v>
      </c>
      <c r="H56">
        <v>1000</v>
      </c>
      <c r="I56">
        <v>1500</v>
      </c>
      <c r="J56">
        <v>1304</v>
      </c>
      <c r="K56">
        <v>1696</v>
      </c>
    </row>
    <row r="57" spans="1:11" x14ac:dyDescent="0.3">
      <c r="A57">
        <v>1056</v>
      </c>
      <c r="B57" s="1">
        <v>45348</v>
      </c>
      <c r="C57" t="s">
        <v>15</v>
      </c>
      <c r="D57" t="s">
        <v>16</v>
      </c>
      <c r="E57" t="s">
        <v>24</v>
      </c>
      <c r="F57" t="s">
        <v>14</v>
      </c>
      <c r="G57">
        <v>2</v>
      </c>
      <c r="H57">
        <v>7000</v>
      </c>
      <c r="I57">
        <v>9000</v>
      </c>
      <c r="J57">
        <v>389</v>
      </c>
      <c r="K57">
        <v>17611</v>
      </c>
    </row>
    <row r="58" spans="1:11" x14ac:dyDescent="0.3">
      <c r="A58">
        <v>1057</v>
      </c>
      <c r="B58" s="1">
        <v>45356</v>
      </c>
      <c r="C58" t="s">
        <v>11</v>
      </c>
      <c r="D58" t="s">
        <v>21</v>
      </c>
      <c r="E58" t="s">
        <v>29</v>
      </c>
      <c r="F58" t="s">
        <v>27</v>
      </c>
      <c r="G58">
        <v>3</v>
      </c>
      <c r="H58">
        <v>4000</v>
      </c>
      <c r="I58">
        <v>5500</v>
      </c>
      <c r="J58">
        <v>713</v>
      </c>
      <c r="K58">
        <v>15787</v>
      </c>
    </row>
    <row r="59" spans="1:11" x14ac:dyDescent="0.3">
      <c r="A59">
        <v>1058</v>
      </c>
      <c r="B59" s="1">
        <v>45377</v>
      </c>
      <c r="C59" t="s">
        <v>20</v>
      </c>
      <c r="D59" t="s">
        <v>21</v>
      </c>
      <c r="E59" t="s">
        <v>19</v>
      </c>
      <c r="F59" t="s">
        <v>14</v>
      </c>
      <c r="G59">
        <v>2</v>
      </c>
      <c r="H59">
        <v>40000</v>
      </c>
      <c r="I59">
        <v>45000</v>
      </c>
      <c r="J59">
        <v>1610</v>
      </c>
      <c r="K59">
        <v>88390</v>
      </c>
    </row>
    <row r="60" spans="1:11" x14ac:dyDescent="0.3">
      <c r="A60">
        <v>1059</v>
      </c>
      <c r="B60" s="1">
        <v>45352</v>
      </c>
      <c r="C60" t="s">
        <v>15</v>
      </c>
      <c r="D60" t="s">
        <v>30</v>
      </c>
      <c r="E60" t="s">
        <v>31</v>
      </c>
      <c r="F60" t="s">
        <v>14</v>
      </c>
      <c r="G60">
        <v>4</v>
      </c>
      <c r="H60">
        <v>1000</v>
      </c>
      <c r="I60">
        <v>1500</v>
      </c>
      <c r="J60">
        <v>1792</v>
      </c>
      <c r="K60">
        <v>4208</v>
      </c>
    </row>
    <row r="61" spans="1:11" x14ac:dyDescent="0.3">
      <c r="A61">
        <v>1060</v>
      </c>
      <c r="B61" s="1">
        <v>45300</v>
      </c>
      <c r="C61" t="s">
        <v>18</v>
      </c>
      <c r="D61" t="s">
        <v>23</v>
      </c>
      <c r="E61" t="s">
        <v>25</v>
      </c>
      <c r="F61" t="s">
        <v>14</v>
      </c>
      <c r="G61">
        <v>1</v>
      </c>
      <c r="H61">
        <v>15000</v>
      </c>
      <c r="I61">
        <v>18000</v>
      </c>
      <c r="J61">
        <v>1482</v>
      </c>
      <c r="K61">
        <v>16518</v>
      </c>
    </row>
    <row r="62" spans="1:11" x14ac:dyDescent="0.3">
      <c r="A62">
        <v>1061</v>
      </c>
      <c r="B62" s="1">
        <v>45380</v>
      </c>
      <c r="C62" t="s">
        <v>15</v>
      </c>
      <c r="D62" t="s">
        <v>30</v>
      </c>
      <c r="E62" t="s">
        <v>32</v>
      </c>
      <c r="F62" t="s">
        <v>27</v>
      </c>
      <c r="G62">
        <v>4</v>
      </c>
      <c r="H62">
        <v>20000</v>
      </c>
      <c r="I62">
        <v>25000</v>
      </c>
      <c r="J62">
        <v>1258</v>
      </c>
      <c r="K62">
        <v>98742</v>
      </c>
    </row>
    <row r="63" spans="1:11" x14ac:dyDescent="0.3">
      <c r="A63">
        <v>1062</v>
      </c>
      <c r="B63" s="1">
        <v>45362</v>
      </c>
      <c r="C63" t="s">
        <v>18</v>
      </c>
      <c r="D63" t="s">
        <v>16</v>
      </c>
      <c r="E63" t="s">
        <v>26</v>
      </c>
      <c r="F63" t="s">
        <v>27</v>
      </c>
      <c r="G63">
        <v>6</v>
      </c>
      <c r="H63">
        <v>5000</v>
      </c>
      <c r="I63">
        <v>6500</v>
      </c>
      <c r="J63">
        <v>1572</v>
      </c>
      <c r="K63">
        <v>37428</v>
      </c>
    </row>
    <row r="64" spans="1:11" x14ac:dyDescent="0.3">
      <c r="A64">
        <v>1063</v>
      </c>
      <c r="B64" s="1">
        <v>45369</v>
      </c>
      <c r="C64" t="s">
        <v>11</v>
      </c>
      <c r="D64" t="s">
        <v>16</v>
      </c>
      <c r="E64" t="s">
        <v>19</v>
      </c>
      <c r="F64" t="s">
        <v>14</v>
      </c>
      <c r="G64">
        <v>6</v>
      </c>
      <c r="H64">
        <v>40000</v>
      </c>
      <c r="I64">
        <v>45000</v>
      </c>
      <c r="J64">
        <v>1712</v>
      </c>
      <c r="K64">
        <v>268288</v>
      </c>
    </row>
    <row r="65" spans="1:11" x14ac:dyDescent="0.3">
      <c r="A65">
        <v>1064</v>
      </c>
      <c r="B65" s="1">
        <v>45302</v>
      </c>
      <c r="C65" t="s">
        <v>11</v>
      </c>
      <c r="D65" t="s">
        <v>12</v>
      </c>
      <c r="E65" t="s">
        <v>25</v>
      </c>
      <c r="F65" t="s">
        <v>14</v>
      </c>
      <c r="G65">
        <v>4</v>
      </c>
      <c r="H65">
        <v>15000</v>
      </c>
      <c r="I65">
        <v>18000</v>
      </c>
      <c r="J65">
        <v>1482</v>
      </c>
      <c r="K65">
        <v>70518</v>
      </c>
    </row>
    <row r="66" spans="1:11" x14ac:dyDescent="0.3">
      <c r="A66">
        <v>1065</v>
      </c>
      <c r="B66" s="1">
        <v>45330</v>
      </c>
      <c r="C66" t="s">
        <v>11</v>
      </c>
      <c r="D66" t="s">
        <v>23</v>
      </c>
      <c r="E66" t="s">
        <v>26</v>
      </c>
      <c r="F66" t="s">
        <v>27</v>
      </c>
      <c r="G66">
        <v>3</v>
      </c>
      <c r="H66">
        <v>5000</v>
      </c>
      <c r="I66">
        <v>6500</v>
      </c>
      <c r="J66">
        <v>660</v>
      </c>
      <c r="K66">
        <v>18840</v>
      </c>
    </row>
    <row r="67" spans="1:11" x14ac:dyDescent="0.3">
      <c r="A67">
        <v>1066</v>
      </c>
      <c r="B67" s="1">
        <v>45466</v>
      </c>
      <c r="C67" t="s">
        <v>11</v>
      </c>
      <c r="D67" t="s">
        <v>23</v>
      </c>
      <c r="E67" t="s">
        <v>26</v>
      </c>
      <c r="F67" t="s">
        <v>27</v>
      </c>
      <c r="G67">
        <v>6</v>
      </c>
      <c r="H67">
        <v>5000</v>
      </c>
      <c r="I67">
        <v>6500</v>
      </c>
      <c r="J67">
        <v>4</v>
      </c>
      <c r="K67">
        <v>38996</v>
      </c>
    </row>
    <row r="68" spans="1:11" x14ac:dyDescent="0.3">
      <c r="A68">
        <v>1067</v>
      </c>
      <c r="B68" s="1">
        <v>45375</v>
      </c>
      <c r="C68" t="s">
        <v>20</v>
      </c>
      <c r="D68" t="s">
        <v>23</v>
      </c>
      <c r="E68" t="s">
        <v>17</v>
      </c>
      <c r="F68" t="s">
        <v>14</v>
      </c>
      <c r="G68">
        <v>1</v>
      </c>
      <c r="H68">
        <v>8000</v>
      </c>
      <c r="I68">
        <v>9500</v>
      </c>
      <c r="J68">
        <v>626</v>
      </c>
      <c r="K68">
        <v>8874</v>
      </c>
    </row>
    <row r="69" spans="1:11" x14ac:dyDescent="0.3">
      <c r="A69">
        <v>1068</v>
      </c>
      <c r="B69" s="1">
        <v>45315</v>
      </c>
      <c r="C69" t="s">
        <v>15</v>
      </c>
      <c r="D69" t="s">
        <v>16</v>
      </c>
      <c r="E69" t="s">
        <v>25</v>
      </c>
      <c r="F69" t="s">
        <v>14</v>
      </c>
      <c r="G69">
        <v>6</v>
      </c>
      <c r="H69">
        <v>15000</v>
      </c>
      <c r="I69">
        <v>18000</v>
      </c>
      <c r="J69">
        <v>419</v>
      </c>
      <c r="K69">
        <v>107581</v>
      </c>
    </row>
    <row r="70" spans="1:11" x14ac:dyDescent="0.3">
      <c r="A70">
        <v>1069</v>
      </c>
      <c r="B70" s="1">
        <v>45334</v>
      </c>
      <c r="C70" t="s">
        <v>18</v>
      </c>
      <c r="D70" t="s">
        <v>23</v>
      </c>
      <c r="E70" t="s">
        <v>29</v>
      </c>
      <c r="F70" t="s">
        <v>27</v>
      </c>
      <c r="G70">
        <v>2</v>
      </c>
      <c r="H70">
        <v>4000</v>
      </c>
      <c r="I70">
        <v>5500</v>
      </c>
      <c r="J70">
        <v>930</v>
      </c>
      <c r="K70">
        <v>10070</v>
      </c>
    </row>
    <row r="71" spans="1:11" x14ac:dyDescent="0.3">
      <c r="A71">
        <v>1070</v>
      </c>
      <c r="B71" s="1">
        <v>45335</v>
      </c>
      <c r="C71" t="s">
        <v>18</v>
      </c>
      <c r="D71" t="s">
        <v>12</v>
      </c>
      <c r="E71" t="s">
        <v>24</v>
      </c>
      <c r="F71" t="s">
        <v>14</v>
      </c>
      <c r="G71">
        <v>2</v>
      </c>
      <c r="H71">
        <v>7000</v>
      </c>
      <c r="I71">
        <v>9000</v>
      </c>
      <c r="J71">
        <v>475</v>
      </c>
      <c r="K71">
        <v>17525</v>
      </c>
    </row>
    <row r="72" spans="1:11" x14ac:dyDescent="0.3">
      <c r="A72">
        <v>1071</v>
      </c>
      <c r="B72" s="1">
        <v>45375</v>
      </c>
      <c r="C72" t="s">
        <v>20</v>
      </c>
      <c r="D72" t="s">
        <v>12</v>
      </c>
      <c r="E72" t="s">
        <v>19</v>
      </c>
      <c r="F72" t="s">
        <v>14</v>
      </c>
      <c r="G72">
        <v>2</v>
      </c>
      <c r="H72">
        <v>40000</v>
      </c>
      <c r="I72">
        <v>45000</v>
      </c>
      <c r="J72">
        <v>946</v>
      </c>
      <c r="K72">
        <v>89054</v>
      </c>
    </row>
    <row r="73" spans="1:11" x14ac:dyDescent="0.3">
      <c r="A73">
        <v>1072</v>
      </c>
      <c r="B73" s="1">
        <v>45447</v>
      </c>
      <c r="C73" t="s">
        <v>20</v>
      </c>
      <c r="D73" t="s">
        <v>23</v>
      </c>
      <c r="E73" t="s">
        <v>26</v>
      </c>
      <c r="F73" t="s">
        <v>27</v>
      </c>
      <c r="G73">
        <v>3</v>
      </c>
      <c r="H73">
        <v>5000</v>
      </c>
      <c r="I73">
        <v>6500</v>
      </c>
      <c r="J73">
        <v>299</v>
      </c>
      <c r="K73">
        <v>19201</v>
      </c>
    </row>
    <row r="74" spans="1:11" x14ac:dyDescent="0.3">
      <c r="A74">
        <v>1073</v>
      </c>
      <c r="B74" s="1">
        <v>45315</v>
      </c>
      <c r="C74" t="s">
        <v>18</v>
      </c>
      <c r="D74" t="s">
        <v>30</v>
      </c>
      <c r="E74" t="s">
        <v>32</v>
      </c>
      <c r="F74" t="s">
        <v>27</v>
      </c>
      <c r="G74">
        <v>6</v>
      </c>
      <c r="H74">
        <v>20000</v>
      </c>
      <c r="I74">
        <v>25000</v>
      </c>
      <c r="J74">
        <v>605</v>
      </c>
      <c r="K74">
        <v>149395</v>
      </c>
    </row>
    <row r="75" spans="1:11" x14ac:dyDescent="0.3">
      <c r="A75">
        <v>1074</v>
      </c>
      <c r="B75" s="1">
        <v>45341</v>
      </c>
      <c r="C75" t="s">
        <v>20</v>
      </c>
      <c r="D75" t="s">
        <v>16</v>
      </c>
      <c r="E75" t="s">
        <v>19</v>
      </c>
      <c r="F75" t="s">
        <v>14</v>
      </c>
      <c r="G75">
        <v>6</v>
      </c>
      <c r="H75">
        <v>40000</v>
      </c>
      <c r="I75">
        <v>45000</v>
      </c>
      <c r="J75">
        <v>1736</v>
      </c>
      <c r="K75">
        <v>268264</v>
      </c>
    </row>
    <row r="76" spans="1:11" x14ac:dyDescent="0.3">
      <c r="A76">
        <v>1075</v>
      </c>
      <c r="B76" s="1">
        <v>45317</v>
      </c>
      <c r="C76" t="s">
        <v>18</v>
      </c>
      <c r="D76" t="s">
        <v>30</v>
      </c>
      <c r="E76" t="s">
        <v>13</v>
      </c>
      <c r="F76" t="s">
        <v>14</v>
      </c>
      <c r="G76">
        <v>1</v>
      </c>
      <c r="H76">
        <v>500</v>
      </c>
      <c r="I76">
        <v>800</v>
      </c>
      <c r="J76">
        <v>1070</v>
      </c>
      <c r="K76">
        <v>-270</v>
      </c>
    </row>
    <row r="77" spans="1:11" x14ac:dyDescent="0.3">
      <c r="A77">
        <v>1076</v>
      </c>
      <c r="B77" s="1">
        <v>45407</v>
      </c>
      <c r="C77" t="s">
        <v>11</v>
      </c>
      <c r="D77" t="s">
        <v>30</v>
      </c>
      <c r="E77" t="s">
        <v>19</v>
      </c>
      <c r="F77" t="s">
        <v>14</v>
      </c>
      <c r="G77">
        <v>2</v>
      </c>
      <c r="H77">
        <v>40000</v>
      </c>
      <c r="I77">
        <v>45000</v>
      </c>
      <c r="J77">
        <v>1951</v>
      </c>
      <c r="K77">
        <v>88049</v>
      </c>
    </row>
    <row r="78" spans="1:11" x14ac:dyDescent="0.3">
      <c r="A78">
        <v>1077</v>
      </c>
      <c r="B78" s="1">
        <v>45430</v>
      </c>
      <c r="C78" t="s">
        <v>20</v>
      </c>
      <c r="D78" t="s">
        <v>30</v>
      </c>
      <c r="E78" t="s">
        <v>29</v>
      </c>
      <c r="F78" t="s">
        <v>27</v>
      </c>
      <c r="G78">
        <v>6</v>
      </c>
      <c r="H78">
        <v>4000</v>
      </c>
      <c r="I78">
        <v>5500</v>
      </c>
      <c r="J78">
        <v>1599</v>
      </c>
      <c r="K78">
        <v>31401</v>
      </c>
    </row>
    <row r="79" spans="1:11" x14ac:dyDescent="0.3">
      <c r="A79">
        <v>1078</v>
      </c>
      <c r="B79" s="1">
        <v>45364</v>
      </c>
      <c r="C79" t="s">
        <v>20</v>
      </c>
      <c r="D79" t="s">
        <v>23</v>
      </c>
      <c r="E79" t="s">
        <v>13</v>
      </c>
      <c r="F79" t="s">
        <v>14</v>
      </c>
      <c r="G79">
        <v>4</v>
      </c>
      <c r="H79">
        <v>500</v>
      </c>
      <c r="I79">
        <v>800</v>
      </c>
      <c r="J79">
        <v>708</v>
      </c>
      <c r="K79">
        <v>2492</v>
      </c>
    </row>
    <row r="80" spans="1:11" x14ac:dyDescent="0.3">
      <c r="A80">
        <v>1079</v>
      </c>
      <c r="B80" s="1">
        <v>45330</v>
      </c>
      <c r="C80" t="s">
        <v>20</v>
      </c>
      <c r="D80" t="s">
        <v>12</v>
      </c>
      <c r="E80" t="s">
        <v>26</v>
      </c>
      <c r="F80" t="s">
        <v>27</v>
      </c>
      <c r="G80">
        <v>1</v>
      </c>
      <c r="H80">
        <v>5000</v>
      </c>
      <c r="I80">
        <v>6500</v>
      </c>
      <c r="J80">
        <v>729</v>
      </c>
      <c r="K80">
        <v>5771</v>
      </c>
    </row>
    <row r="81" spans="1:11" x14ac:dyDescent="0.3">
      <c r="A81">
        <v>1080</v>
      </c>
      <c r="B81" s="1">
        <v>45324</v>
      </c>
      <c r="C81" t="s">
        <v>20</v>
      </c>
      <c r="D81" t="s">
        <v>30</v>
      </c>
      <c r="E81" t="s">
        <v>17</v>
      </c>
      <c r="F81" t="s">
        <v>14</v>
      </c>
      <c r="G81">
        <v>1</v>
      </c>
      <c r="H81">
        <v>8000</v>
      </c>
      <c r="I81">
        <v>9500</v>
      </c>
      <c r="J81">
        <v>1549</v>
      </c>
      <c r="K81">
        <v>7951</v>
      </c>
    </row>
    <row r="82" spans="1:11" x14ac:dyDescent="0.3">
      <c r="A82">
        <v>1081</v>
      </c>
      <c r="B82" s="1">
        <v>45301</v>
      </c>
      <c r="C82" t="s">
        <v>20</v>
      </c>
      <c r="D82" t="s">
        <v>28</v>
      </c>
      <c r="E82" t="s">
        <v>22</v>
      </c>
      <c r="F82" t="s">
        <v>14</v>
      </c>
      <c r="G82">
        <v>5</v>
      </c>
      <c r="H82">
        <v>300</v>
      </c>
      <c r="I82">
        <v>600</v>
      </c>
      <c r="J82">
        <v>973</v>
      </c>
      <c r="K82">
        <v>2027</v>
      </c>
    </row>
    <row r="83" spans="1:11" x14ac:dyDescent="0.3">
      <c r="A83">
        <v>1082</v>
      </c>
      <c r="B83" s="1">
        <v>45319</v>
      </c>
      <c r="C83" t="s">
        <v>15</v>
      </c>
      <c r="D83" t="s">
        <v>23</v>
      </c>
      <c r="E83" t="s">
        <v>33</v>
      </c>
      <c r="F83" t="s">
        <v>27</v>
      </c>
      <c r="G83">
        <v>1</v>
      </c>
      <c r="H83">
        <v>2000</v>
      </c>
      <c r="I83">
        <v>2500</v>
      </c>
      <c r="J83">
        <v>1049</v>
      </c>
      <c r="K83">
        <v>1451</v>
      </c>
    </row>
    <row r="84" spans="1:11" x14ac:dyDescent="0.3">
      <c r="A84">
        <v>1083</v>
      </c>
      <c r="B84" s="1">
        <v>45437</v>
      </c>
      <c r="C84" t="s">
        <v>15</v>
      </c>
      <c r="D84" t="s">
        <v>12</v>
      </c>
      <c r="E84" t="s">
        <v>25</v>
      </c>
      <c r="F84" t="s">
        <v>14</v>
      </c>
      <c r="G84">
        <v>3</v>
      </c>
      <c r="H84">
        <v>15000</v>
      </c>
      <c r="I84">
        <v>18000</v>
      </c>
      <c r="J84">
        <v>807</v>
      </c>
      <c r="K84">
        <v>53193</v>
      </c>
    </row>
    <row r="85" spans="1:11" x14ac:dyDescent="0.3">
      <c r="A85">
        <v>1084</v>
      </c>
      <c r="B85" s="1">
        <v>45389</v>
      </c>
      <c r="C85" t="s">
        <v>18</v>
      </c>
      <c r="D85" t="s">
        <v>21</v>
      </c>
      <c r="E85" t="s">
        <v>17</v>
      </c>
      <c r="F85" t="s">
        <v>14</v>
      </c>
      <c r="G85">
        <v>3</v>
      </c>
      <c r="H85">
        <v>8000</v>
      </c>
      <c r="I85">
        <v>9500</v>
      </c>
      <c r="J85">
        <v>202</v>
      </c>
      <c r="K85">
        <v>28298</v>
      </c>
    </row>
    <row r="86" spans="1:11" x14ac:dyDescent="0.3">
      <c r="A86">
        <v>1085</v>
      </c>
      <c r="B86" s="1">
        <v>45460</v>
      </c>
      <c r="C86" t="s">
        <v>11</v>
      </c>
      <c r="D86" t="s">
        <v>12</v>
      </c>
      <c r="E86" t="s">
        <v>32</v>
      </c>
      <c r="F86" t="s">
        <v>27</v>
      </c>
      <c r="G86">
        <v>5</v>
      </c>
      <c r="H86">
        <v>20000</v>
      </c>
      <c r="I86">
        <v>25000</v>
      </c>
      <c r="J86">
        <v>839</v>
      </c>
      <c r="K86">
        <v>124161</v>
      </c>
    </row>
    <row r="87" spans="1:11" x14ac:dyDescent="0.3">
      <c r="A87">
        <v>1086</v>
      </c>
      <c r="B87" s="1">
        <v>45329</v>
      </c>
      <c r="C87" t="s">
        <v>15</v>
      </c>
      <c r="D87" t="s">
        <v>12</v>
      </c>
      <c r="E87" t="s">
        <v>29</v>
      </c>
      <c r="F87" t="s">
        <v>27</v>
      </c>
      <c r="G87">
        <v>4</v>
      </c>
      <c r="H87">
        <v>4000</v>
      </c>
      <c r="I87">
        <v>5500</v>
      </c>
      <c r="J87">
        <v>613</v>
      </c>
      <c r="K87">
        <v>21387</v>
      </c>
    </row>
    <row r="88" spans="1:11" x14ac:dyDescent="0.3">
      <c r="A88">
        <v>1087</v>
      </c>
      <c r="B88" s="1">
        <v>45425</v>
      </c>
      <c r="C88" t="s">
        <v>11</v>
      </c>
      <c r="D88" t="s">
        <v>28</v>
      </c>
      <c r="E88" t="s">
        <v>26</v>
      </c>
      <c r="F88" t="s">
        <v>27</v>
      </c>
      <c r="G88">
        <v>3</v>
      </c>
      <c r="H88">
        <v>5000</v>
      </c>
      <c r="I88">
        <v>6500</v>
      </c>
      <c r="J88">
        <v>1047</v>
      </c>
      <c r="K88">
        <v>18453</v>
      </c>
    </row>
    <row r="89" spans="1:11" x14ac:dyDescent="0.3">
      <c r="A89">
        <v>1088</v>
      </c>
      <c r="B89" s="1">
        <v>45346</v>
      </c>
      <c r="C89" t="s">
        <v>20</v>
      </c>
      <c r="D89" t="s">
        <v>12</v>
      </c>
      <c r="E89" t="s">
        <v>31</v>
      </c>
      <c r="F89" t="s">
        <v>14</v>
      </c>
      <c r="G89">
        <v>2</v>
      </c>
      <c r="H89">
        <v>1000</v>
      </c>
      <c r="I89">
        <v>1500</v>
      </c>
      <c r="J89">
        <v>923</v>
      </c>
      <c r="K89">
        <v>2077</v>
      </c>
    </row>
    <row r="90" spans="1:11" x14ac:dyDescent="0.3">
      <c r="A90">
        <v>1089</v>
      </c>
      <c r="B90" s="1">
        <v>45329</v>
      </c>
      <c r="C90" t="s">
        <v>15</v>
      </c>
      <c r="D90" t="s">
        <v>12</v>
      </c>
      <c r="E90" t="s">
        <v>24</v>
      </c>
      <c r="F90" t="s">
        <v>14</v>
      </c>
      <c r="G90">
        <v>5</v>
      </c>
      <c r="H90">
        <v>7000</v>
      </c>
      <c r="I90">
        <v>9000</v>
      </c>
      <c r="J90">
        <v>1186</v>
      </c>
      <c r="K90">
        <v>43814</v>
      </c>
    </row>
    <row r="91" spans="1:11" x14ac:dyDescent="0.3">
      <c r="A91">
        <v>1090</v>
      </c>
      <c r="B91" s="1">
        <v>45380</v>
      </c>
      <c r="C91" t="s">
        <v>15</v>
      </c>
      <c r="D91" t="s">
        <v>30</v>
      </c>
      <c r="E91" t="s">
        <v>33</v>
      </c>
      <c r="F91" t="s">
        <v>27</v>
      </c>
      <c r="G91">
        <v>6</v>
      </c>
      <c r="H91">
        <v>2000</v>
      </c>
      <c r="I91">
        <v>2500</v>
      </c>
      <c r="J91">
        <v>1671</v>
      </c>
      <c r="K91">
        <v>13329</v>
      </c>
    </row>
    <row r="92" spans="1:11" x14ac:dyDescent="0.3">
      <c r="A92">
        <v>1091</v>
      </c>
      <c r="B92" s="1">
        <v>45319</v>
      </c>
      <c r="C92" t="s">
        <v>18</v>
      </c>
      <c r="D92" t="s">
        <v>21</v>
      </c>
      <c r="E92" t="s">
        <v>24</v>
      </c>
      <c r="F92" t="s">
        <v>14</v>
      </c>
      <c r="G92">
        <v>1</v>
      </c>
      <c r="H92">
        <v>7000</v>
      </c>
      <c r="I92">
        <v>9000</v>
      </c>
      <c r="J92">
        <v>659</v>
      </c>
      <c r="K92">
        <v>8341</v>
      </c>
    </row>
    <row r="93" spans="1:11" x14ac:dyDescent="0.3">
      <c r="A93">
        <v>1092</v>
      </c>
      <c r="B93" s="1">
        <v>45302</v>
      </c>
      <c r="C93" t="s">
        <v>20</v>
      </c>
      <c r="D93" t="s">
        <v>16</v>
      </c>
      <c r="E93" t="s">
        <v>29</v>
      </c>
      <c r="F93" t="s">
        <v>27</v>
      </c>
      <c r="G93">
        <v>4</v>
      </c>
      <c r="H93">
        <v>4000</v>
      </c>
      <c r="I93">
        <v>5500</v>
      </c>
      <c r="J93">
        <v>386</v>
      </c>
      <c r="K93">
        <v>21614</v>
      </c>
    </row>
    <row r="94" spans="1:11" x14ac:dyDescent="0.3">
      <c r="A94">
        <v>1093</v>
      </c>
      <c r="B94" s="1">
        <v>45323</v>
      </c>
      <c r="C94" t="s">
        <v>20</v>
      </c>
      <c r="D94" t="s">
        <v>21</v>
      </c>
      <c r="E94" t="s">
        <v>17</v>
      </c>
      <c r="F94" t="s">
        <v>14</v>
      </c>
      <c r="G94">
        <v>2</v>
      </c>
      <c r="H94">
        <v>8000</v>
      </c>
      <c r="I94">
        <v>9500</v>
      </c>
      <c r="J94">
        <v>1509</v>
      </c>
      <c r="K94">
        <v>17491</v>
      </c>
    </row>
    <row r="95" spans="1:11" x14ac:dyDescent="0.3">
      <c r="A95">
        <v>1094</v>
      </c>
      <c r="B95" s="1">
        <v>45457</v>
      </c>
      <c r="C95" t="s">
        <v>11</v>
      </c>
      <c r="D95" t="s">
        <v>30</v>
      </c>
      <c r="E95" t="s">
        <v>19</v>
      </c>
      <c r="F95" t="s">
        <v>14</v>
      </c>
      <c r="G95">
        <v>4</v>
      </c>
      <c r="H95">
        <v>40000</v>
      </c>
      <c r="I95">
        <v>45000</v>
      </c>
      <c r="J95">
        <v>1519</v>
      </c>
      <c r="K95">
        <v>178481</v>
      </c>
    </row>
    <row r="96" spans="1:11" x14ac:dyDescent="0.3">
      <c r="A96">
        <v>1095</v>
      </c>
      <c r="B96" s="1">
        <v>45350</v>
      </c>
      <c r="C96" t="s">
        <v>20</v>
      </c>
      <c r="D96" t="s">
        <v>28</v>
      </c>
      <c r="E96" t="s">
        <v>26</v>
      </c>
      <c r="F96" t="s">
        <v>27</v>
      </c>
      <c r="G96">
        <v>6</v>
      </c>
      <c r="H96">
        <v>5000</v>
      </c>
      <c r="I96">
        <v>6500</v>
      </c>
      <c r="J96">
        <v>106</v>
      </c>
      <c r="K96">
        <v>38894</v>
      </c>
    </row>
    <row r="97" spans="1:11" x14ac:dyDescent="0.3">
      <c r="A97">
        <v>1096</v>
      </c>
      <c r="B97" s="1">
        <v>45394</v>
      </c>
      <c r="C97" t="s">
        <v>15</v>
      </c>
      <c r="D97" t="s">
        <v>12</v>
      </c>
      <c r="E97" t="s">
        <v>17</v>
      </c>
      <c r="F97" t="s">
        <v>14</v>
      </c>
      <c r="G97">
        <v>5</v>
      </c>
      <c r="H97">
        <v>8000</v>
      </c>
      <c r="I97">
        <v>9500</v>
      </c>
      <c r="J97">
        <v>1332</v>
      </c>
      <c r="K97">
        <v>46168</v>
      </c>
    </row>
    <row r="98" spans="1:11" x14ac:dyDescent="0.3">
      <c r="A98">
        <v>1097</v>
      </c>
      <c r="B98" s="1">
        <v>45339</v>
      </c>
      <c r="C98" t="s">
        <v>11</v>
      </c>
      <c r="D98" t="s">
        <v>16</v>
      </c>
      <c r="E98" t="s">
        <v>19</v>
      </c>
      <c r="F98" t="s">
        <v>14</v>
      </c>
      <c r="G98">
        <v>1</v>
      </c>
      <c r="H98">
        <v>40000</v>
      </c>
      <c r="I98">
        <v>45000</v>
      </c>
      <c r="J98">
        <v>195</v>
      </c>
      <c r="K98">
        <v>44805</v>
      </c>
    </row>
    <row r="99" spans="1:11" x14ac:dyDescent="0.3">
      <c r="A99">
        <v>1098</v>
      </c>
      <c r="B99" s="1">
        <v>45297</v>
      </c>
      <c r="C99" t="s">
        <v>15</v>
      </c>
      <c r="D99" t="s">
        <v>12</v>
      </c>
      <c r="E99" t="s">
        <v>24</v>
      </c>
      <c r="F99" t="s">
        <v>14</v>
      </c>
      <c r="G99">
        <v>1</v>
      </c>
      <c r="H99">
        <v>7000</v>
      </c>
      <c r="I99">
        <v>9000</v>
      </c>
      <c r="J99">
        <v>1496</v>
      </c>
      <c r="K99">
        <v>7504</v>
      </c>
    </row>
    <row r="100" spans="1:11" x14ac:dyDescent="0.3">
      <c r="A100">
        <v>1099</v>
      </c>
      <c r="B100" s="1">
        <v>45398</v>
      </c>
      <c r="C100" t="s">
        <v>11</v>
      </c>
      <c r="D100" t="s">
        <v>12</v>
      </c>
      <c r="E100" t="s">
        <v>13</v>
      </c>
      <c r="F100" t="s">
        <v>14</v>
      </c>
      <c r="G100">
        <v>4</v>
      </c>
      <c r="H100">
        <v>500</v>
      </c>
      <c r="I100">
        <v>800</v>
      </c>
      <c r="J100">
        <v>1001</v>
      </c>
      <c r="K100">
        <v>2199</v>
      </c>
    </row>
    <row r="101" spans="1:11" x14ac:dyDescent="0.3">
      <c r="A101">
        <v>1100</v>
      </c>
      <c r="B101" s="1">
        <v>45322</v>
      </c>
      <c r="C101" t="s">
        <v>18</v>
      </c>
      <c r="D101" t="s">
        <v>28</v>
      </c>
      <c r="E101" t="s">
        <v>32</v>
      </c>
      <c r="F101" t="s">
        <v>27</v>
      </c>
      <c r="G101">
        <v>4</v>
      </c>
      <c r="H101">
        <v>20000</v>
      </c>
      <c r="I101">
        <v>25000</v>
      </c>
      <c r="J101">
        <v>173</v>
      </c>
      <c r="K101">
        <v>99827</v>
      </c>
    </row>
    <row r="102" spans="1:11" x14ac:dyDescent="0.3">
      <c r="A102">
        <v>1101</v>
      </c>
      <c r="B102" s="1">
        <v>45300</v>
      </c>
      <c r="C102" t="s">
        <v>20</v>
      </c>
      <c r="D102" t="s">
        <v>23</v>
      </c>
      <c r="E102" t="s">
        <v>32</v>
      </c>
      <c r="F102" t="s">
        <v>27</v>
      </c>
      <c r="G102">
        <v>3</v>
      </c>
      <c r="H102">
        <v>20000</v>
      </c>
      <c r="I102">
        <v>25000</v>
      </c>
      <c r="J102">
        <v>1482</v>
      </c>
      <c r="K102">
        <v>73518</v>
      </c>
    </row>
    <row r="103" spans="1:11" x14ac:dyDescent="0.3">
      <c r="A103">
        <v>1102</v>
      </c>
      <c r="B103" s="1">
        <v>45419</v>
      </c>
      <c r="C103" t="s">
        <v>18</v>
      </c>
      <c r="D103" t="s">
        <v>28</v>
      </c>
      <c r="E103" t="s">
        <v>13</v>
      </c>
      <c r="F103" t="s">
        <v>14</v>
      </c>
      <c r="G103">
        <v>5</v>
      </c>
      <c r="H103">
        <v>500</v>
      </c>
      <c r="I103">
        <v>800</v>
      </c>
      <c r="J103">
        <v>1209</v>
      </c>
      <c r="K103">
        <v>2791</v>
      </c>
    </row>
    <row r="104" spans="1:11" x14ac:dyDescent="0.3">
      <c r="A104">
        <v>1103</v>
      </c>
      <c r="B104" s="1">
        <v>45368</v>
      </c>
      <c r="C104" t="s">
        <v>20</v>
      </c>
      <c r="D104" t="s">
        <v>12</v>
      </c>
      <c r="E104" t="s">
        <v>26</v>
      </c>
      <c r="F104" t="s">
        <v>27</v>
      </c>
      <c r="G104">
        <v>3</v>
      </c>
      <c r="H104">
        <v>5000</v>
      </c>
      <c r="I104">
        <v>6500</v>
      </c>
      <c r="J104">
        <v>656</v>
      </c>
      <c r="K104">
        <v>18844</v>
      </c>
    </row>
    <row r="105" spans="1:11" x14ac:dyDescent="0.3">
      <c r="A105">
        <v>1104</v>
      </c>
      <c r="B105" s="1">
        <v>45303</v>
      </c>
      <c r="C105" t="s">
        <v>20</v>
      </c>
      <c r="D105" t="s">
        <v>12</v>
      </c>
      <c r="E105" t="s">
        <v>13</v>
      </c>
      <c r="F105" t="s">
        <v>14</v>
      </c>
      <c r="G105">
        <v>1</v>
      </c>
      <c r="H105">
        <v>500</v>
      </c>
      <c r="I105">
        <v>800</v>
      </c>
      <c r="J105">
        <v>1013</v>
      </c>
      <c r="K105">
        <v>-213</v>
      </c>
    </row>
    <row r="106" spans="1:11" x14ac:dyDescent="0.3">
      <c r="A106">
        <v>1105</v>
      </c>
      <c r="B106" s="1">
        <v>45441</v>
      </c>
      <c r="C106" t="s">
        <v>11</v>
      </c>
      <c r="D106" t="s">
        <v>23</v>
      </c>
      <c r="E106" t="s">
        <v>29</v>
      </c>
      <c r="F106" t="s">
        <v>27</v>
      </c>
      <c r="G106">
        <v>5</v>
      </c>
      <c r="H106">
        <v>4000</v>
      </c>
      <c r="I106">
        <v>5500</v>
      </c>
      <c r="J106">
        <v>1706</v>
      </c>
      <c r="K106">
        <v>25794</v>
      </c>
    </row>
    <row r="107" spans="1:11" x14ac:dyDescent="0.3">
      <c r="A107">
        <v>1106</v>
      </c>
      <c r="B107" s="1">
        <v>45412</v>
      </c>
      <c r="C107" t="s">
        <v>18</v>
      </c>
      <c r="D107" t="s">
        <v>30</v>
      </c>
      <c r="E107" t="s">
        <v>13</v>
      </c>
      <c r="F107" t="s">
        <v>14</v>
      </c>
      <c r="G107">
        <v>4</v>
      </c>
      <c r="H107">
        <v>500</v>
      </c>
      <c r="I107">
        <v>800</v>
      </c>
      <c r="J107">
        <v>1601</v>
      </c>
      <c r="K107">
        <v>1599</v>
      </c>
    </row>
    <row r="108" spans="1:11" x14ac:dyDescent="0.3">
      <c r="A108">
        <v>1107</v>
      </c>
      <c r="B108" s="1">
        <v>45471</v>
      </c>
      <c r="C108" t="s">
        <v>15</v>
      </c>
      <c r="D108" t="s">
        <v>30</v>
      </c>
      <c r="E108" t="s">
        <v>24</v>
      </c>
      <c r="F108" t="s">
        <v>14</v>
      </c>
      <c r="G108">
        <v>3</v>
      </c>
      <c r="H108">
        <v>7000</v>
      </c>
      <c r="I108">
        <v>9000</v>
      </c>
      <c r="J108">
        <v>44</v>
      </c>
      <c r="K108">
        <v>26956</v>
      </c>
    </row>
    <row r="109" spans="1:11" x14ac:dyDescent="0.3">
      <c r="A109">
        <v>1108</v>
      </c>
      <c r="B109" s="1">
        <v>45440</v>
      </c>
      <c r="C109" t="s">
        <v>18</v>
      </c>
      <c r="D109" t="s">
        <v>23</v>
      </c>
      <c r="E109" t="s">
        <v>25</v>
      </c>
      <c r="F109" t="s">
        <v>14</v>
      </c>
      <c r="G109">
        <v>2</v>
      </c>
      <c r="H109">
        <v>15000</v>
      </c>
      <c r="I109">
        <v>18000</v>
      </c>
      <c r="J109">
        <v>1124</v>
      </c>
      <c r="K109">
        <v>34876</v>
      </c>
    </row>
    <row r="110" spans="1:11" x14ac:dyDescent="0.3">
      <c r="A110">
        <v>1109</v>
      </c>
      <c r="B110" s="1">
        <v>45404</v>
      </c>
      <c r="C110" t="s">
        <v>20</v>
      </c>
      <c r="D110" t="s">
        <v>30</v>
      </c>
      <c r="E110" t="s">
        <v>13</v>
      </c>
      <c r="F110" t="s">
        <v>14</v>
      </c>
      <c r="G110">
        <v>1</v>
      </c>
      <c r="H110">
        <v>500</v>
      </c>
      <c r="I110">
        <v>800</v>
      </c>
      <c r="J110">
        <v>831</v>
      </c>
      <c r="K110">
        <v>-31</v>
      </c>
    </row>
    <row r="111" spans="1:11" x14ac:dyDescent="0.3">
      <c r="A111">
        <v>1110</v>
      </c>
      <c r="B111" s="1">
        <v>45470</v>
      </c>
      <c r="C111" t="s">
        <v>18</v>
      </c>
      <c r="D111" t="s">
        <v>12</v>
      </c>
      <c r="E111" t="s">
        <v>31</v>
      </c>
      <c r="F111" t="s">
        <v>14</v>
      </c>
      <c r="G111">
        <v>5</v>
      </c>
      <c r="H111">
        <v>1000</v>
      </c>
      <c r="I111">
        <v>1500</v>
      </c>
      <c r="J111">
        <v>624</v>
      </c>
      <c r="K111">
        <v>6876</v>
      </c>
    </row>
    <row r="112" spans="1:11" x14ac:dyDescent="0.3">
      <c r="A112">
        <v>1111</v>
      </c>
      <c r="B112" s="1">
        <v>45379</v>
      </c>
      <c r="C112" t="s">
        <v>15</v>
      </c>
      <c r="D112" t="s">
        <v>23</v>
      </c>
      <c r="E112" t="s">
        <v>22</v>
      </c>
      <c r="F112" t="s">
        <v>14</v>
      </c>
      <c r="G112">
        <v>4</v>
      </c>
      <c r="H112">
        <v>300</v>
      </c>
      <c r="I112">
        <v>600</v>
      </c>
      <c r="J112">
        <v>843</v>
      </c>
      <c r="K112">
        <v>1557</v>
      </c>
    </row>
    <row r="113" spans="1:11" x14ac:dyDescent="0.3">
      <c r="A113">
        <v>1112</v>
      </c>
      <c r="B113" s="1">
        <v>45377</v>
      </c>
      <c r="C113" t="s">
        <v>18</v>
      </c>
      <c r="D113" t="s">
        <v>23</v>
      </c>
      <c r="E113" t="s">
        <v>24</v>
      </c>
      <c r="F113" t="s">
        <v>14</v>
      </c>
      <c r="G113">
        <v>6</v>
      </c>
      <c r="H113">
        <v>7000</v>
      </c>
      <c r="I113">
        <v>9000</v>
      </c>
      <c r="J113">
        <v>1650</v>
      </c>
      <c r="K113">
        <v>52350</v>
      </c>
    </row>
    <row r="114" spans="1:11" x14ac:dyDescent="0.3">
      <c r="A114">
        <v>1113</v>
      </c>
      <c r="B114" s="1">
        <v>45380</v>
      </c>
      <c r="C114" t="s">
        <v>11</v>
      </c>
      <c r="D114" t="s">
        <v>12</v>
      </c>
      <c r="E114" t="s">
        <v>17</v>
      </c>
      <c r="F114" t="s">
        <v>14</v>
      </c>
      <c r="G114">
        <v>6</v>
      </c>
      <c r="H114">
        <v>8000</v>
      </c>
      <c r="I114">
        <v>9500</v>
      </c>
      <c r="J114">
        <v>662</v>
      </c>
      <c r="K114">
        <v>56338</v>
      </c>
    </row>
    <row r="115" spans="1:11" x14ac:dyDescent="0.3">
      <c r="A115">
        <v>1114</v>
      </c>
      <c r="B115" s="1">
        <v>45307</v>
      </c>
      <c r="C115" t="s">
        <v>11</v>
      </c>
      <c r="D115" t="s">
        <v>23</v>
      </c>
      <c r="E115" t="s">
        <v>19</v>
      </c>
      <c r="F115" t="s">
        <v>14</v>
      </c>
      <c r="G115">
        <v>1</v>
      </c>
      <c r="H115">
        <v>40000</v>
      </c>
      <c r="I115">
        <v>45000</v>
      </c>
      <c r="J115">
        <v>252</v>
      </c>
      <c r="K115">
        <v>44748</v>
      </c>
    </row>
    <row r="116" spans="1:11" x14ac:dyDescent="0.3">
      <c r="A116">
        <v>1115</v>
      </c>
      <c r="B116" s="1">
        <v>45295</v>
      </c>
      <c r="C116" t="s">
        <v>20</v>
      </c>
      <c r="D116" t="s">
        <v>23</v>
      </c>
      <c r="E116" t="s">
        <v>25</v>
      </c>
      <c r="F116" t="s">
        <v>14</v>
      </c>
      <c r="G116">
        <v>5</v>
      </c>
      <c r="H116">
        <v>15000</v>
      </c>
      <c r="I116">
        <v>18000</v>
      </c>
      <c r="J116">
        <v>1931</v>
      </c>
      <c r="K116">
        <v>88069</v>
      </c>
    </row>
    <row r="117" spans="1:11" x14ac:dyDescent="0.3">
      <c r="A117">
        <v>1116</v>
      </c>
      <c r="B117" s="1">
        <v>45394</v>
      </c>
      <c r="C117" t="s">
        <v>20</v>
      </c>
      <c r="D117" t="s">
        <v>23</v>
      </c>
      <c r="E117" t="s">
        <v>29</v>
      </c>
      <c r="F117" t="s">
        <v>27</v>
      </c>
      <c r="G117">
        <v>6</v>
      </c>
      <c r="H117">
        <v>4000</v>
      </c>
      <c r="I117">
        <v>5500</v>
      </c>
      <c r="J117">
        <v>1189</v>
      </c>
      <c r="K117">
        <v>31811</v>
      </c>
    </row>
    <row r="118" spans="1:11" x14ac:dyDescent="0.3">
      <c r="A118">
        <v>1117</v>
      </c>
      <c r="B118" s="1">
        <v>45369</v>
      </c>
      <c r="C118" t="s">
        <v>18</v>
      </c>
      <c r="D118" t="s">
        <v>16</v>
      </c>
      <c r="E118" t="s">
        <v>13</v>
      </c>
      <c r="F118" t="s">
        <v>14</v>
      </c>
      <c r="G118">
        <v>4</v>
      </c>
      <c r="H118">
        <v>500</v>
      </c>
      <c r="I118">
        <v>800</v>
      </c>
      <c r="J118">
        <v>1362</v>
      </c>
      <c r="K118">
        <v>1838</v>
      </c>
    </row>
    <row r="119" spans="1:11" x14ac:dyDescent="0.3">
      <c r="A119">
        <v>1118</v>
      </c>
      <c r="B119" s="1">
        <v>45320</v>
      </c>
      <c r="C119" t="s">
        <v>11</v>
      </c>
      <c r="D119" t="s">
        <v>16</v>
      </c>
      <c r="E119" t="s">
        <v>17</v>
      </c>
      <c r="F119" t="s">
        <v>14</v>
      </c>
      <c r="G119">
        <v>1</v>
      </c>
      <c r="H119">
        <v>8000</v>
      </c>
      <c r="I119">
        <v>9500</v>
      </c>
      <c r="J119">
        <v>1382</v>
      </c>
      <c r="K119">
        <v>8118</v>
      </c>
    </row>
    <row r="120" spans="1:11" x14ac:dyDescent="0.3">
      <c r="A120">
        <v>1119</v>
      </c>
      <c r="B120" s="1">
        <v>45370</v>
      </c>
      <c r="C120" t="s">
        <v>18</v>
      </c>
      <c r="D120" t="s">
        <v>16</v>
      </c>
      <c r="E120" t="s">
        <v>19</v>
      </c>
      <c r="F120" t="s">
        <v>14</v>
      </c>
      <c r="G120">
        <v>1</v>
      </c>
      <c r="H120">
        <v>40000</v>
      </c>
      <c r="I120">
        <v>45000</v>
      </c>
      <c r="J120">
        <v>1390</v>
      </c>
      <c r="K120">
        <v>43610</v>
      </c>
    </row>
    <row r="121" spans="1:11" x14ac:dyDescent="0.3">
      <c r="A121">
        <v>1120</v>
      </c>
      <c r="B121" s="1">
        <v>45316</v>
      </c>
      <c r="C121" t="s">
        <v>18</v>
      </c>
      <c r="D121" t="s">
        <v>23</v>
      </c>
      <c r="E121" t="s">
        <v>29</v>
      </c>
      <c r="F121" t="s">
        <v>27</v>
      </c>
      <c r="G121">
        <v>1</v>
      </c>
      <c r="H121">
        <v>4000</v>
      </c>
      <c r="I121">
        <v>5500</v>
      </c>
      <c r="J121">
        <v>176</v>
      </c>
      <c r="K121">
        <v>5324</v>
      </c>
    </row>
    <row r="122" spans="1:11" x14ac:dyDescent="0.3">
      <c r="A122">
        <v>1121</v>
      </c>
      <c r="B122" s="1">
        <v>45439</v>
      </c>
      <c r="C122" t="s">
        <v>18</v>
      </c>
      <c r="D122" t="s">
        <v>16</v>
      </c>
      <c r="E122" t="s">
        <v>32</v>
      </c>
      <c r="F122" t="s">
        <v>27</v>
      </c>
      <c r="G122">
        <v>4</v>
      </c>
      <c r="H122">
        <v>20000</v>
      </c>
      <c r="I122">
        <v>25000</v>
      </c>
      <c r="J122">
        <v>39</v>
      </c>
      <c r="K122">
        <v>99961</v>
      </c>
    </row>
    <row r="123" spans="1:11" x14ac:dyDescent="0.3">
      <c r="A123">
        <v>1122</v>
      </c>
      <c r="B123" s="1">
        <v>45383</v>
      </c>
      <c r="C123" t="s">
        <v>18</v>
      </c>
      <c r="D123" t="s">
        <v>23</v>
      </c>
      <c r="E123" t="s">
        <v>26</v>
      </c>
      <c r="F123" t="s">
        <v>27</v>
      </c>
      <c r="G123">
        <v>6</v>
      </c>
      <c r="H123">
        <v>5000</v>
      </c>
      <c r="I123">
        <v>6500</v>
      </c>
      <c r="J123">
        <v>495</v>
      </c>
      <c r="K123">
        <v>38505</v>
      </c>
    </row>
    <row r="124" spans="1:11" x14ac:dyDescent="0.3">
      <c r="A124">
        <v>1123</v>
      </c>
      <c r="B124" s="1">
        <v>45297</v>
      </c>
      <c r="C124" t="s">
        <v>20</v>
      </c>
      <c r="D124" t="s">
        <v>16</v>
      </c>
      <c r="E124" t="s">
        <v>13</v>
      </c>
      <c r="F124" t="s">
        <v>14</v>
      </c>
      <c r="G124">
        <v>5</v>
      </c>
      <c r="H124">
        <v>500</v>
      </c>
      <c r="I124">
        <v>800</v>
      </c>
      <c r="J124">
        <v>1576</v>
      </c>
      <c r="K124">
        <v>2424</v>
      </c>
    </row>
    <row r="125" spans="1:11" x14ac:dyDescent="0.3">
      <c r="A125">
        <v>1124</v>
      </c>
      <c r="B125" s="1">
        <v>45321</v>
      </c>
      <c r="C125" t="s">
        <v>18</v>
      </c>
      <c r="D125" t="s">
        <v>21</v>
      </c>
      <c r="E125" t="s">
        <v>22</v>
      </c>
      <c r="F125" t="s">
        <v>14</v>
      </c>
      <c r="G125">
        <v>2</v>
      </c>
      <c r="H125">
        <v>300</v>
      </c>
      <c r="I125">
        <v>600</v>
      </c>
      <c r="J125">
        <v>1793</v>
      </c>
      <c r="K125">
        <v>-593</v>
      </c>
    </row>
    <row r="126" spans="1:11" x14ac:dyDescent="0.3">
      <c r="A126">
        <v>1125</v>
      </c>
      <c r="B126" s="1">
        <v>45414</v>
      </c>
      <c r="C126" t="s">
        <v>11</v>
      </c>
      <c r="D126" t="s">
        <v>16</v>
      </c>
      <c r="E126" t="s">
        <v>25</v>
      </c>
      <c r="F126" t="s">
        <v>14</v>
      </c>
      <c r="G126">
        <v>5</v>
      </c>
      <c r="H126">
        <v>15000</v>
      </c>
      <c r="I126">
        <v>18000</v>
      </c>
      <c r="J126">
        <v>215</v>
      </c>
      <c r="K126">
        <v>89785</v>
      </c>
    </row>
    <row r="127" spans="1:11" x14ac:dyDescent="0.3">
      <c r="A127">
        <v>1126</v>
      </c>
      <c r="B127" s="1">
        <v>45402</v>
      </c>
      <c r="C127" t="s">
        <v>11</v>
      </c>
      <c r="D127" t="s">
        <v>21</v>
      </c>
      <c r="E127" t="s">
        <v>25</v>
      </c>
      <c r="F127" t="s">
        <v>14</v>
      </c>
      <c r="G127">
        <v>5</v>
      </c>
      <c r="H127">
        <v>15000</v>
      </c>
      <c r="I127">
        <v>18000</v>
      </c>
      <c r="J127">
        <v>1952</v>
      </c>
      <c r="K127">
        <v>88048</v>
      </c>
    </row>
    <row r="128" spans="1:11" x14ac:dyDescent="0.3">
      <c r="A128">
        <v>1127</v>
      </c>
      <c r="B128" s="1">
        <v>45378</v>
      </c>
      <c r="C128" t="s">
        <v>18</v>
      </c>
      <c r="D128" t="s">
        <v>28</v>
      </c>
      <c r="E128" t="s">
        <v>17</v>
      </c>
      <c r="F128" t="s">
        <v>14</v>
      </c>
      <c r="G128">
        <v>5</v>
      </c>
      <c r="H128">
        <v>8000</v>
      </c>
      <c r="I128">
        <v>9500</v>
      </c>
      <c r="J128">
        <v>1084</v>
      </c>
      <c r="K128">
        <v>46416</v>
      </c>
    </row>
    <row r="129" spans="1:11" x14ac:dyDescent="0.3">
      <c r="A129">
        <v>1128</v>
      </c>
      <c r="B129" s="1">
        <v>45346</v>
      </c>
      <c r="C129" t="s">
        <v>20</v>
      </c>
      <c r="D129" t="s">
        <v>12</v>
      </c>
      <c r="E129" t="s">
        <v>25</v>
      </c>
      <c r="F129" t="s">
        <v>14</v>
      </c>
      <c r="G129">
        <v>5</v>
      </c>
      <c r="H129">
        <v>15000</v>
      </c>
      <c r="I129">
        <v>18000</v>
      </c>
      <c r="J129">
        <v>1623</v>
      </c>
      <c r="K129">
        <v>88377</v>
      </c>
    </row>
    <row r="130" spans="1:11" x14ac:dyDescent="0.3">
      <c r="A130">
        <v>1129</v>
      </c>
      <c r="B130" s="1">
        <v>45410</v>
      </c>
      <c r="C130" t="s">
        <v>18</v>
      </c>
      <c r="D130" t="s">
        <v>28</v>
      </c>
      <c r="E130" t="s">
        <v>32</v>
      </c>
      <c r="F130" t="s">
        <v>27</v>
      </c>
      <c r="G130">
        <v>6</v>
      </c>
      <c r="H130">
        <v>20000</v>
      </c>
      <c r="I130">
        <v>25000</v>
      </c>
      <c r="J130">
        <v>722</v>
      </c>
      <c r="K130">
        <v>149278</v>
      </c>
    </row>
    <row r="131" spans="1:11" x14ac:dyDescent="0.3">
      <c r="A131">
        <v>1130</v>
      </c>
      <c r="B131" s="1">
        <v>45368</v>
      </c>
      <c r="C131" t="s">
        <v>11</v>
      </c>
      <c r="D131" t="s">
        <v>16</v>
      </c>
      <c r="E131" t="s">
        <v>29</v>
      </c>
      <c r="F131" t="s">
        <v>27</v>
      </c>
      <c r="G131">
        <v>4</v>
      </c>
      <c r="H131">
        <v>4000</v>
      </c>
      <c r="I131">
        <v>5500</v>
      </c>
      <c r="J131">
        <v>923</v>
      </c>
      <c r="K131">
        <v>21077</v>
      </c>
    </row>
    <row r="132" spans="1:11" x14ac:dyDescent="0.3">
      <c r="A132">
        <v>1131</v>
      </c>
      <c r="B132" s="1">
        <v>45431</v>
      </c>
      <c r="C132" t="s">
        <v>15</v>
      </c>
      <c r="D132" t="s">
        <v>21</v>
      </c>
      <c r="E132" t="s">
        <v>31</v>
      </c>
      <c r="F132" t="s">
        <v>14</v>
      </c>
      <c r="G132">
        <v>6</v>
      </c>
      <c r="H132">
        <v>1000</v>
      </c>
      <c r="I132">
        <v>1500</v>
      </c>
      <c r="J132">
        <v>1908</v>
      </c>
      <c r="K132">
        <v>7092</v>
      </c>
    </row>
    <row r="133" spans="1:11" x14ac:dyDescent="0.3">
      <c r="A133">
        <v>1132</v>
      </c>
      <c r="B133" s="1">
        <v>45404</v>
      </c>
      <c r="C133" t="s">
        <v>15</v>
      </c>
      <c r="D133" t="s">
        <v>21</v>
      </c>
      <c r="E133" t="s">
        <v>29</v>
      </c>
      <c r="F133" t="s">
        <v>27</v>
      </c>
      <c r="G133">
        <v>1</v>
      </c>
      <c r="H133">
        <v>4000</v>
      </c>
      <c r="I133">
        <v>5500</v>
      </c>
      <c r="J133">
        <v>534</v>
      </c>
      <c r="K133">
        <v>4966</v>
      </c>
    </row>
    <row r="134" spans="1:11" x14ac:dyDescent="0.3">
      <c r="A134">
        <v>1133</v>
      </c>
      <c r="B134" s="1">
        <v>45293</v>
      </c>
      <c r="C134" t="s">
        <v>11</v>
      </c>
      <c r="D134" t="s">
        <v>23</v>
      </c>
      <c r="E134" t="s">
        <v>33</v>
      </c>
      <c r="F134" t="s">
        <v>27</v>
      </c>
      <c r="G134">
        <v>5</v>
      </c>
      <c r="H134">
        <v>2000</v>
      </c>
      <c r="I134">
        <v>2500</v>
      </c>
      <c r="J134">
        <v>1663</v>
      </c>
      <c r="K134">
        <v>10837</v>
      </c>
    </row>
    <row r="135" spans="1:11" x14ac:dyDescent="0.3">
      <c r="A135">
        <v>1134</v>
      </c>
      <c r="B135" s="1">
        <v>45328</v>
      </c>
      <c r="C135" t="s">
        <v>11</v>
      </c>
      <c r="D135" t="s">
        <v>23</v>
      </c>
      <c r="E135" t="s">
        <v>32</v>
      </c>
      <c r="F135" t="s">
        <v>27</v>
      </c>
      <c r="G135">
        <v>2</v>
      </c>
      <c r="H135">
        <v>20000</v>
      </c>
      <c r="I135">
        <v>25000</v>
      </c>
      <c r="J135">
        <v>971</v>
      </c>
      <c r="K135">
        <v>49029</v>
      </c>
    </row>
    <row r="136" spans="1:11" x14ac:dyDescent="0.3">
      <c r="A136">
        <v>1135</v>
      </c>
      <c r="B136" s="1">
        <v>45423</v>
      </c>
      <c r="C136" t="s">
        <v>20</v>
      </c>
      <c r="D136" t="s">
        <v>28</v>
      </c>
      <c r="E136" t="s">
        <v>22</v>
      </c>
      <c r="F136" t="s">
        <v>14</v>
      </c>
      <c r="G136">
        <v>6</v>
      </c>
      <c r="H136">
        <v>300</v>
      </c>
      <c r="I136">
        <v>600</v>
      </c>
      <c r="J136">
        <v>1250</v>
      </c>
      <c r="K136">
        <v>2350</v>
      </c>
    </row>
    <row r="137" spans="1:11" x14ac:dyDescent="0.3">
      <c r="A137">
        <v>1136</v>
      </c>
      <c r="B137" s="1">
        <v>45375</v>
      </c>
      <c r="C137" t="s">
        <v>11</v>
      </c>
      <c r="D137" t="s">
        <v>30</v>
      </c>
      <c r="E137" t="s">
        <v>26</v>
      </c>
      <c r="F137" t="s">
        <v>27</v>
      </c>
      <c r="G137">
        <v>2</v>
      </c>
      <c r="H137">
        <v>5000</v>
      </c>
      <c r="I137">
        <v>6500</v>
      </c>
      <c r="J137">
        <v>1361</v>
      </c>
      <c r="K137">
        <v>11639</v>
      </c>
    </row>
    <row r="138" spans="1:11" x14ac:dyDescent="0.3">
      <c r="A138">
        <v>1137</v>
      </c>
      <c r="B138" s="1">
        <v>45317</v>
      </c>
      <c r="C138" t="s">
        <v>15</v>
      </c>
      <c r="D138" t="s">
        <v>30</v>
      </c>
      <c r="E138" t="s">
        <v>31</v>
      </c>
      <c r="F138" t="s">
        <v>14</v>
      </c>
      <c r="G138">
        <v>5</v>
      </c>
      <c r="H138">
        <v>1000</v>
      </c>
      <c r="I138">
        <v>1500</v>
      </c>
      <c r="J138">
        <v>262</v>
      </c>
      <c r="K138">
        <v>7238</v>
      </c>
    </row>
    <row r="139" spans="1:11" x14ac:dyDescent="0.3">
      <c r="A139">
        <v>1138</v>
      </c>
      <c r="B139" s="1">
        <v>45339</v>
      </c>
      <c r="C139" t="s">
        <v>11</v>
      </c>
      <c r="D139" t="s">
        <v>28</v>
      </c>
      <c r="E139" t="s">
        <v>31</v>
      </c>
      <c r="F139" t="s">
        <v>14</v>
      </c>
      <c r="G139">
        <v>1</v>
      </c>
      <c r="H139">
        <v>1000</v>
      </c>
      <c r="I139">
        <v>1500</v>
      </c>
      <c r="J139">
        <v>37</v>
      </c>
      <c r="K139">
        <v>1463</v>
      </c>
    </row>
    <row r="140" spans="1:11" x14ac:dyDescent="0.3">
      <c r="A140">
        <v>1139</v>
      </c>
      <c r="B140" s="1">
        <v>45354</v>
      </c>
      <c r="C140" t="s">
        <v>15</v>
      </c>
      <c r="D140" t="s">
        <v>12</v>
      </c>
      <c r="E140" t="s">
        <v>19</v>
      </c>
      <c r="F140" t="s">
        <v>14</v>
      </c>
      <c r="G140">
        <v>6</v>
      </c>
      <c r="H140">
        <v>40000</v>
      </c>
      <c r="I140">
        <v>45000</v>
      </c>
      <c r="J140">
        <v>578</v>
      </c>
      <c r="K140">
        <v>269422</v>
      </c>
    </row>
    <row r="141" spans="1:11" x14ac:dyDescent="0.3">
      <c r="A141">
        <v>1140</v>
      </c>
      <c r="B141" s="1">
        <v>45343</v>
      </c>
      <c r="C141" t="s">
        <v>15</v>
      </c>
      <c r="D141" t="s">
        <v>28</v>
      </c>
      <c r="E141" t="s">
        <v>22</v>
      </c>
      <c r="F141" t="s">
        <v>14</v>
      </c>
      <c r="G141">
        <v>5</v>
      </c>
      <c r="H141">
        <v>300</v>
      </c>
      <c r="I141">
        <v>600</v>
      </c>
      <c r="J141">
        <v>166</v>
      </c>
      <c r="K141">
        <v>2834</v>
      </c>
    </row>
    <row r="142" spans="1:11" x14ac:dyDescent="0.3">
      <c r="A142">
        <v>1141</v>
      </c>
      <c r="B142" s="1">
        <v>45296</v>
      </c>
      <c r="C142" t="s">
        <v>18</v>
      </c>
      <c r="D142" t="s">
        <v>16</v>
      </c>
      <c r="E142" t="s">
        <v>22</v>
      </c>
      <c r="F142" t="s">
        <v>14</v>
      </c>
      <c r="G142">
        <v>4</v>
      </c>
      <c r="H142">
        <v>300</v>
      </c>
      <c r="I142">
        <v>600</v>
      </c>
      <c r="J142">
        <v>1658</v>
      </c>
      <c r="K142">
        <v>742</v>
      </c>
    </row>
    <row r="143" spans="1:11" x14ac:dyDescent="0.3">
      <c r="A143">
        <v>1142</v>
      </c>
      <c r="B143" s="1">
        <v>45445</v>
      </c>
      <c r="C143" t="s">
        <v>18</v>
      </c>
      <c r="D143" t="s">
        <v>21</v>
      </c>
      <c r="E143" t="s">
        <v>32</v>
      </c>
      <c r="F143" t="s">
        <v>27</v>
      </c>
      <c r="G143">
        <v>4</v>
      </c>
      <c r="H143">
        <v>20000</v>
      </c>
      <c r="I143">
        <v>25000</v>
      </c>
      <c r="J143">
        <v>1415</v>
      </c>
      <c r="K143">
        <v>98585</v>
      </c>
    </row>
    <row r="144" spans="1:11" x14ac:dyDescent="0.3">
      <c r="A144">
        <v>1143</v>
      </c>
      <c r="B144" s="1">
        <v>45392</v>
      </c>
      <c r="C144" t="s">
        <v>18</v>
      </c>
      <c r="D144" t="s">
        <v>12</v>
      </c>
      <c r="E144" t="s">
        <v>31</v>
      </c>
      <c r="F144" t="s">
        <v>14</v>
      </c>
      <c r="G144">
        <v>1</v>
      </c>
      <c r="H144">
        <v>1000</v>
      </c>
      <c r="I144">
        <v>1500</v>
      </c>
      <c r="J144">
        <v>164</v>
      </c>
      <c r="K144">
        <v>1336</v>
      </c>
    </row>
    <row r="145" spans="1:11" x14ac:dyDescent="0.3">
      <c r="A145">
        <v>1144</v>
      </c>
      <c r="B145" s="1">
        <v>45324</v>
      </c>
      <c r="C145" t="s">
        <v>18</v>
      </c>
      <c r="D145" t="s">
        <v>21</v>
      </c>
      <c r="E145" t="s">
        <v>26</v>
      </c>
      <c r="F145" t="s">
        <v>27</v>
      </c>
      <c r="G145">
        <v>4</v>
      </c>
      <c r="H145">
        <v>5000</v>
      </c>
      <c r="I145">
        <v>6500</v>
      </c>
      <c r="J145">
        <v>1785</v>
      </c>
      <c r="K145">
        <v>24215</v>
      </c>
    </row>
    <row r="146" spans="1:11" x14ac:dyDescent="0.3">
      <c r="A146">
        <v>1145</v>
      </c>
      <c r="B146" s="1">
        <v>45384</v>
      </c>
      <c r="C146" t="s">
        <v>11</v>
      </c>
      <c r="D146" t="s">
        <v>12</v>
      </c>
      <c r="E146" t="s">
        <v>19</v>
      </c>
      <c r="F146" t="s">
        <v>14</v>
      </c>
      <c r="G146">
        <v>3</v>
      </c>
      <c r="H146">
        <v>40000</v>
      </c>
      <c r="I146">
        <v>45000</v>
      </c>
      <c r="J146">
        <v>339</v>
      </c>
      <c r="K146">
        <v>134661</v>
      </c>
    </row>
    <row r="147" spans="1:11" x14ac:dyDescent="0.3">
      <c r="A147">
        <v>1146</v>
      </c>
      <c r="B147" s="1">
        <v>45306</v>
      </c>
      <c r="C147" t="s">
        <v>18</v>
      </c>
      <c r="D147" t="s">
        <v>21</v>
      </c>
      <c r="E147" t="s">
        <v>19</v>
      </c>
      <c r="F147" t="s">
        <v>14</v>
      </c>
      <c r="G147">
        <v>6</v>
      </c>
      <c r="H147">
        <v>40000</v>
      </c>
      <c r="I147">
        <v>45000</v>
      </c>
      <c r="J147">
        <v>1695</v>
      </c>
      <c r="K147">
        <v>268305</v>
      </c>
    </row>
    <row r="148" spans="1:11" x14ac:dyDescent="0.3">
      <c r="A148">
        <v>1147</v>
      </c>
      <c r="B148" s="1">
        <v>45362</v>
      </c>
      <c r="C148" t="s">
        <v>18</v>
      </c>
      <c r="D148" t="s">
        <v>28</v>
      </c>
      <c r="E148" t="s">
        <v>13</v>
      </c>
      <c r="F148" t="s">
        <v>14</v>
      </c>
      <c r="G148">
        <v>4</v>
      </c>
      <c r="H148">
        <v>500</v>
      </c>
      <c r="I148">
        <v>800</v>
      </c>
      <c r="J148">
        <v>653</v>
      </c>
      <c r="K148">
        <v>2547</v>
      </c>
    </row>
    <row r="149" spans="1:11" x14ac:dyDescent="0.3">
      <c r="A149">
        <v>1148</v>
      </c>
      <c r="B149" s="1">
        <v>45364</v>
      </c>
      <c r="C149" t="s">
        <v>15</v>
      </c>
      <c r="D149" t="s">
        <v>28</v>
      </c>
      <c r="E149" t="s">
        <v>31</v>
      </c>
      <c r="F149" t="s">
        <v>14</v>
      </c>
      <c r="G149">
        <v>4</v>
      </c>
      <c r="H149">
        <v>1000</v>
      </c>
      <c r="I149">
        <v>1500</v>
      </c>
      <c r="J149">
        <v>1566</v>
      </c>
      <c r="K149">
        <v>4434</v>
      </c>
    </row>
    <row r="150" spans="1:11" x14ac:dyDescent="0.3">
      <c r="A150">
        <v>1149</v>
      </c>
      <c r="B150" s="1">
        <v>45303</v>
      </c>
      <c r="C150" t="s">
        <v>20</v>
      </c>
      <c r="D150" t="s">
        <v>16</v>
      </c>
      <c r="E150" t="s">
        <v>24</v>
      </c>
      <c r="F150" t="s">
        <v>14</v>
      </c>
      <c r="G150">
        <v>1</v>
      </c>
      <c r="H150">
        <v>7000</v>
      </c>
      <c r="I150">
        <v>9000</v>
      </c>
      <c r="J150">
        <v>108</v>
      </c>
      <c r="K150">
        <v>8892</v>
      </c>
    </row>
    <row r="151" spans="1:11" x14ac:dyDescent="0.3">
      <c r="A151">
        <v>1150</v>
      </c>
      <c r="B151" s="1">
        <v>45316</v>
      </c>
      <c r="C151" t="s">
        <v>18</v>
      </c>
      <c r="D151" t="s">
        <v>21</v>
      </c>
      <c r="E151" t="s">
        <v>31</v>
      </c>
      <c r="F151" t="s">
        <v>14</v>
      </c>
      <c r="G151">
        <v>4</v>
      </c>
      <c r="H151">
        <v>1000</v>
      </c>
      <c r="I151">
        <v>1500</v>
      </c>
      <c r="J151">
        <v>1556</v>
      </c>
      <c r="K151">
        <v>4444</v>
      </c>
    </row>
    <row r="152" spans="1:11" x14ac:dyDescent="0.3">
      <c r="A152">
        <v>1151</v>
      </c>
      <c r="B152" s="1">
        <v>45385</v>
      </c>
      <c r="C152" t="s">
        <v>11</v>
      </c>
      <c r="D152" t="s">
        <v>21</v>
      </c>
      <c r="E152" t="s">
        <v>17</v>
      </c>
      <c r="F152" t="s">
        <v>14</v>
      </c>
      <c r="G152">
        <v>4</v>
      </c>
      <c r="H152">
        <v>8000</v>
      </c>
      <c r="I152">
        <v>9500</v>
      </c>
      <c r="J152">
        <v>689</v>
      </c>
      <c r="K152">
        <v>37311</v>
      </c>
    </row>
    <row r="153" spans="1:11" x14ac:dyDescent="0.3">
      <c r="A153">
        <v>1152</v>
      </c>
      <c r="B153" s="1">
        <v>45356</v>
      </c>
      <c r="C153" t="s">
        <v>15</v>
      </c>
      <c r="D153" t="s">
        <v>23</v>
      </c>
      <c r="E153" t="s">
        <v>24</v>
      </c>
      <c r="F153" t="s">
        <v>14</v>
      </c>
      <c r="G153">
        <v>4</v>
      </c>
      <c r="H153">
        <v>7000</v>
      </c>
      <c r="I153">
        <v>9000</v>
      </c>
      <c r="J153">
        <v>756</v>
      </c>
      <c r="K153">
        <v>35244</v>
      </c>
    </row>
    <row r="154" spans="1:11" x14ac:dyDescent="0.3">
      <c r="A154">
        <v>1153</v>
      </c>
      <c r="B154" s="1">
        <v>45393</v>
      </c>
      <c r="C154" t="s">
        <v>20</v>
      </c>
      <c r="D154" t="s">
        <v>30</v>
      </c>
      <c r="E154" t="s">
        <v>29</v>
      </c>
      <c r="F154" t="s">
        <v>27</v>
      </c>
      <c r="G154">
        <v>4</v>
      </c>
      <c r="H154">
        <v>4000</v>
      </c>
      <c r="I154">
        <v>5500</v>
      </c>
      <c r="J154">
        <v>359</v>
      </c>
      <c r="K154">
        <v>21641</v>
      </c>
    </row>
    <row r="155" spans="1:11" x14ac:dyDescent="0.3">
      <c r="A155">
        <v>1154</v>
      </c>
      <c r="B155" s="1">
        <v>45422</v>
      </c>
      <c r="C155" t="s">
        <v>20</v>
      </c>
      <c r="D155" t="s">
        <v>12</v>
      </c>
      <c r="E155" t="s">
        <v>17</v>
      </c>
      <c r="F155" t="s">
        <v>14</v>
      </c>
      <c r="G155">
        <v>1</v>
      </c>
      <c r="H155">
        <v>8000</v>
      </c>
      <c r="I155">
        <v>9500</v>
      </c>
      <c r="J155">
        <v>57</v>
      </c>
      <c r="K155">
        <v>9443</v>
      </c>
    </row>
    <row r="156" spans="1:11" x14ac:dyDescent="0.3">
      <c r="A156">
        <v>1155</v>
      </c>
      <c r="B156" s="1">
        <v>45415</v>
      </c>
      <c r="C156" t="s">
        <v>11</v>
      </c>
      <c r="D156" t="s">
        <v>16</v>
      </c>
      <c r="E156" t="s">
        <v>22</v>
      </c>
      <c r="F156" t="s">
        <v>14</v>
      </c>
      <c r="G156">
        <v>2</v>
      </c>
      <c r="H156">
        <v>300</v>
      </c>
      <c r="I156">
        <v>600</v>
      </c>
      <c r="J156">
        <v>523</v>
      </c>
      <c r="K156">
        <v>677</v>
      </c>
    </row>
    <row r="157" spans="1:11" x14ac:dyDescent="0.3">
      <c r="A157">
        <v>1156</v>
      </c>
      <c r="B157" s="1">
        <v>45295</v>
      </c>
      <c r="C157" t="s">
        <v>15</v>
      </c>
      <c r="D157" t="s">
        <v>12</v>
      </c>
      <c r="E157" t="s">
        <v>22</v>
      </c>
      <c r="F157" t="s">
        <v>14</v>
      </c>
      <c r="G157">
        <v>5</v>
      </c>
      <c r="H157">
        <v>300</v>
      </c>
      <c r="I157">
        <v>600</v>
      </c>
      <c r="J157">
        <v>189</v>
      </c>
      <c r="K157">
        <v>2811</v>
      </c>
    </row>
    <row r="158" spans="1:11" x14ac:dyDescent="0.3">
      <c r="A158">
        <v>1157</v>
      </c>
      <c r="B158" s="1">
        <v>45425</v>
      </c>
      <c r="C158" t="s">
        <v>11</v>
      </c>
      <c r="D158" t="s">
        <v>30</v>
      </c>
      <c r="E158" t="s">
        <v>24</v>
      </c>
      <c r="F158" t="s">
        <v>14</v>
      </c>
      <c r="G158">
        <v>3</v>
      </c>
      <c r="H158">
        <v>7000</v>
      </c>
      <c r="I158">
        <v>9000</v>
      </c>
      <c r="J158">
        <v>318</v>
      </c>
      <c r="K158">
        <v>26682</v>
      </c>
    </row>
    <row r="159" spans="1:11" x14ac:dyDescent="0.3">
      <c r="A159">
        <v>1158</v>
      </c>
      <c r="B159" s="1">
        <v>45414</v>
      </c>
      <c r="C159" t="s">
        <v>11</v>
      </c>
      <c r="D159" t="s">
        <v>21</v>
      </c>
      <c r="E159" t="s">
        <v>13</v>
      </c>
      <c r="F159" t="s">
        <v>14</v>
      </c>
      <c r="G159">
        <v>1</v>
      </c>
      <c r="H159">
        <v>500</v>
      </c>
      <c r="I159">
        <v>800</v>
      </c>
      <c r="J159">
        <v>1177</v>
      </c>
      <c r="K159">
        <v>-377</v>
      </c>
    </row>
    <row r="160" spans="1:11" x14ac:dyDescent="0.3">
      <c r="A160">
        <v>1159</v>
      </c>
      <c r="B160" s="1">
        <v>45460</v>
      </c>
      <c r="C160" t="s">
        <v>18</v>
      </c>
      <c r="D160" t="s">
        <v>21</v>
      </c>
      <c r="E160" t="s">
        <v>31</v>
      </c>
      <c r="F160" t="s">
        <v>14</v>
      </c>
      <c r="G160">
        <v>3</v>
      </c>
      <c r="H160">
        <v>1000</v>
      </c>
      <c r="I160">
        <v>1500</v>
      </c>
      <c r="J160">
        <v>1647</v>
      </c>
      <c r="K160">
        <v>2853</v>
      </c>
    </row>
    <row r="161" spans="1:11" x14ac:dyDescent="0.3">
      <c r="A161">
        <v>1160</v>
      </c>
      <c r="B161" s="1">
        <v>45382</v>
      </c>
      <c r="C161" t="s">
        <v>18</v>
      </c>
      <c r="D161" t="s">
        <v>12</v>
      </c>
      <c r="E161" t="s">
        <v>33</v>
      </c>
      <c r="F161" t="s">
        <v>27</v>
      </c>
      <c r="G161">
        <v>3</v>
      </c>
      <c r="H161">
        <v>2000</v>
      </c>
      <c r="I161">
        <v>2500</v>
      </c>
      <c r="J161">
        <v>1759</v>
      </c>
      <c r="K161">
        <v>5741</v>
      </c>
    </row>
    <row r="162" spans="1:11" x14ac:dyDescent="0.3">
      <c r="A162">
        <v>1161</v>
      </c>
      <c r="B162" s="1">
        <v>45330</v>
      </c>
      <c r="C162" t="s">
        <v>18</v>
      </c>
      <c r="D162" t="s">
        <v>16</v>
      </c>
      <c r="E162" t="s">
        <v>26</v>
      </c>
      <c r="F162" t="s">
        <v>27</v>
      </c>
      <c r="G162">
        <v>1</v>
      </c>
      <c r="H162">
        <v>5000</v>
      </c>
      <c r="I162">
        <v>6500</v>
      </c>
      <c r="J162">
        <v>84</v>
      </c>
      <c r="K162">
        <v>6416</v>
      </c>
    </row>
    <row r="163" spans="1:11" x14ac:dyDescent="0.3">
      <c r="A163">
        <v>1162</v>
      </c>
      <c r="B163" s="1">
        <v>45452</v>
      </c>
      <c r="C163" t="s">
        <v>18</v>
      </c>
      <c r="D163" t="s">
        <v>30</v>
      </c>
      <c r="E163" t="s">
        <v>32</v>
      </c>
      <c r="F163" t="s">
        <v>27</v>
      </c>
      <c r="G163">
        <v>4</v>
      </c>
      <c r="H163">
        <v>20000</v>
      </c>
      <c r="I163">
        <v>25000</v>
      </c>
      <c r="J163">
        <v>754</v>
      </c>
      <c r="K163">
        <v>99246</v>
      </c>
    </row>
    <row r="164" spans="1:11" x14ac:dyDescent="0.3">
      <c r="A164">
        <v>1163</v>
      </c>
      <c r="B164" s="1">
        <v>45452</v>
      </c>
      <c r="C164" t="s">
        <v>18</v>
      </c>
      <c r="D164" t="s">
        <v>28</v>
      </c>
      <c r="E164" t="s">
        <v>25</v>
      </c>
      <c r="F164" t="s">
        <v>14</v>
      </c>
      <c r="G164">
        <v>3</v>
      </c>
      <c r="H164">
        <v>15000</v>
      </c>
      <c r="I164">
        <v>18000</v>
      </c>
      <c r="J164">
        <v>322</v>
      </c>
      <c r="K164">
        <v>53678</v>
      </c>
    </row>
    <row r="165" spans="1:11" x14ac:dyDescent="0.3">
      <c r="A165">
        <v>1164</v>
      </c>
      <c r="B165" s="1">
        <v>45418</v>
      </c>
      <c r="C165" t="s">
        <v>15</v>
      </c>
      <c r="D165" t="s">
        <v>28</v>
      </c>
      <c r="E165" t="s">
        <v>31</v>
      </c>
      <c r="F165" t="s">
        <v>14</v>
      </c>
      <c r="G165">
        <v>1</v>
      </c>
      <c r="H165">
        <v>1000</v>
      </c>
      <c r="I165">
        <v>1500</v>
      </c>
      <c r="J165">
        <v>1771</v>
      </c>
      <c r="K165">
        <v>-271</v>
      </c>
    </row>
    <row r="166" spans="1:11" x14ac:dyDescent="0.3">
      <c r="A166">
        <v>1165</v>
      </c>
      <c r="B166" s="1">
        <v>45327</v>
      </c>
      <c r="C166" t="s">
        <v>20</v>
      </c>
      <c r="D166" t="s">
        <v>12</v>
      </c>
      <c r="E166" t="s">
        <v>24</v>
      </c>
      <c r="F166" t="s">
        <v>14</v>
      </c>
      <c r="G166">
        <v>6</v>
      </c>
      <c r="H166">
        <v>7000</v>
      </c>
      <c r="I166">
        <v>9000</v>
      </c>
      <c r="J166">
        <v>1505</v>
      </c>
      <c r="K166">
        <v>52495</v>
      </c>
    </row>
    <row r="167" spans="1:11" x14ac:dyDescent="0.3">
      <c r="A167">
        <v>1166</v>
      </c>
      <c r="B167" s="1">
        <v>45460</v>
      </c>
      <c r="C167" t="s">
        <v>11</v>
      </c>
      <c r="D167" t="s">
        <v>30</v>
      </c>
      <c r="E167" t="s">
        <v>19</v>
      </c>
      <c r="F167" t="s">
        <v>14</v>
      </c>
      <c r="G167">
        <v>5</v>
      </c>
      <c r="H167">
        <v>40000</v>
      </c>
      <c r="I167">
        <v>45000</v>
      </c>
      <c r="J167">
        <v>1641</v>
      </c>
      <c r="K167">
        <v>223359</v>
      </c>
    </row>
    <row r="168" spans="1:11" x14ac:dyDescent="0.3">
      <c r="A168">
        <v>1167</v>
      </c>
      <c r="B168" s="1">
        <v>45359</v>
      </c>
      <c r="C168" t="s">
        <v>15</v>
      </c>
      <c r="D168" t="s">
        <v>23</v>
      </c>
      <c r="E168" t="s">
        <v>17</v>
      </c>
      <c r="F168" t="s">
        <v>14</v>
      </c>
      <c r="G168">
        <v>3</v>
      </c>
      <c r="H168">
        <v>8000</v>
      </c>
      <c r="I168">
        <v>9500</v>
      </c>
      <c r="J168">
        <v>390</v>
      </c>
      <c r="K168">
        <v>28110</v>
      </c>
    </row>
    <row r="169" spans="1:11" x14ac:dyDescent="0.3">
      <c r="A169">
        <v>1168</v>
      </c>
      <c r="B169" s="1">
        <v>45323</v>
      </c>
      <c r="C169" t="s">
        <v>15</v>
      </c>
      <c r="D169" t="s">
        <v>16</v>
      </c>
      <c r="E169" t="s">
        <v>25</v>
      </c>
      <c r="F169" t="s">
        <v>14</v>
      </c>
      <c r="G169">
        <v>3</v>
      </c>
      <c r="H169">
        <v>15000</v>
      </c>
      <c r="I169">
        <v>18000</v>
      </c>
      <c r="J169">
        <v>719</v>
      </c>
      <c r="K169">
        <v>53281</v>
      </c>
    </row>
    <row r="170" spans="1:11" x14ac:dyDescent="0.3">
      <c r="A170">
        <v>1169</v>
      </c>
      <c r="B170" s="1">
        <v>45409</v>
      </c>
      <c r="C170" t="s">
        <v>20</v>
      </c>
      <c r="D170" t="s">
        <v>23</v>
      </c>
      <c r="E170" t="s">
        <v>29</v>
      </c>
      <c r="F170" t="s">
        <v>27</v>
      </c>
      <c r="G170">
        <v>6</v>
      </c>
      <c r="H170">
        <v>4000</v>
      </c>
      <c r="I170">
        <v>5500</v>
      </c>
      <c r="J170">
        <v>103</v>
      </c>
      <c r="K170">
        <v>32897</v>
      </c>
    </row>
    <row r="171" spans="1:11" x14ac:dyDescent="0.3">
      <c r="A171">
        <v>1170</v>
      </c>
      <c r="B171" s="1">
        <v>45363</v>
      </c>
      <c r="C171" t="s">
        <v>20</v>
      </c>
      <c r="D171" t="s">
        <v>28</v>
      </c>
      <c r="E171" t="s">
        <v>24</v>
      </c>
      <c r="F171" t="s">
        <v>14</v>
      </c>
      <c r="G171">
        <v>3</v>
      </c>
      <c r="H171">
        <v>7000</v>
      </c>
      <c r="I171">
        <v>9000</v>
      </c>
      <c r="J171">
        <v>858</v>
      </c>
      <c r="K171">
        <v>26142</v>
      </c>
    </row>
    <row r="172" spans="1:11" x14ac:dyDescent="0.3">
      <c r="A172">
        <v>1171</v>
      </c>
      <c r="B172" s="1">
        <v>45439</v>
      </c>
      <c r="C172" t="s">
        <v>20</v>
      </c>
      <c r="D172" t="s">
        <v>21</v>
      </c>
      <c r="E172" t="s">
        <v>17</v>
      </c>
      <c r="F172" t="s">
        <v>14</v>
      </c>
      <c r="G172">
        <v>4</v>
      </c>
      <c r="H172">
        <v>8000</v>
      </c>
      <c r="I172">
        <v>9500</v>
      </c>
      <c r="J172">
        <v>211</v>
      </c>
      <c r="K172">
        <v>37789</v>
      </c>
    </row>
    <row r="173" spans="1:11" x14ac:dyDescent="0.3">
      <c r="A173">
        <v>1172</v>
      </c>
      <c r="B173" s="1">
        <v>45417</v>
      </c>
      <c r="C173" t="s">
        <v>18</v>
      </c>
      <c r="D173" t="s">
        <v>28</v>
      </c>
      <c r="E173" t="s">
        <v>29</v>
      </c>
      <c r="F173" t="s">
        <v>27</v>
      </c>
      <c r="G173">
        <v>6</v>
      </c>
      <c r="H173">
        <v>4000</v>
      </c>
      <c r="I173">
        <v>5500</v>
      </c>
      <c r="J173">
        <v>1908</v>
      </c>
      <c r="K173">
        <v>31092</v>
      </c>
    </row>
    <row r="174" spans="1:11" x14ac:dyDescent="0.3">
      <c r="A174">
        <v>1173</v>
      </c>
      <c r="B174" s="1">
        <v>45403</v>
      </c>
      <c r="C174" t="s">
        <v>15</v>
      </c>
      <c r="D174" t="s">
        <v>30</v>
      </c>
      <c r="E174" t="s">
        <v>25</v>
      </c>
      <c r="F174" t="s">
        <v>14</v>
      </c>
      <c r="G174">
        <v>5</v>
      </c>
      <c r="H174">
        <v>15000</v>
      </c>
      <c r="I174">
        <v>18000</v>
      </c>
      <c r="J174">
        <v>575</v>
      </c>
      <c r="K174">
        <v>89425</v>
      </c>
    </row>
    <row r="175" spans="1:11" x14ac:dyDescent="0.3">
      <c r="A175">
        <v>1174</v>
      </c>
      <c r="B175" s="1">
        <v>45412</v>
      </c>
      <c r="C175" t="s">
        <v>20</v>
      </c>
      <c r="D175" t="s">
        <v>12</v>
      </c>
      <c r="E175" t="s">
        <v>33</v>
      </c>
      <c r="F175" t="s">
        <v>27</v>
      </c>
      <c r="G175">
        <v>6</v>
      </c>
      <c r="H175">
        <v>2000</v>
      </c>
      <c r="I175">
        <v>2500</v>
      </c>
      <c r="J175">
        <v>1245</v>
      </c>
      <c r="K175">
        <v>13755</v>
      </c>
    </row>
    <row r="176" spans="1:11" x14ac:dyDescent="0.3">
      <c r="A176">
        <v>1175</v>
      </c>
      <c r="B176" s="1">
        <v>45396</v>
      </c>
      <c r="C176" t="s">
        <v>11</v>
      </c>
      <c r="D176" t="s">
        <v>16</v>
      </c>
      <c r="E176" t="s">
        <v>22</v>
      </c>
      <c r="F176" t="s">
        <v>14</v>
      </c>
      <c r="G176">
        <v>4</v>
      </c>
      <c r="H176">
        <v>300</v>
      </c>
      <c r="I176">
        <v>600</v>
      </c>
      <c r="J176">
        <v>781</v>
      </c>
      <c r="K176">
        <v>1619</v>
      </c>
    </row>
    <row r="177" spans="1:11" x14ac:dyDescent="0.3">
      <c r="A177">
        <v>1176</v>
      </c>
      <c r="B177" s="1">
        <v>45362</v>
      </c>
      <c r="C177" t="s">
        <v>18</v>
      </c>
      <c r="D177" t="s">
        <v>12</v>
      </c>
      <c r="E177" t="s">
        <v>13</v>
      </c>
      <c r="F177" t="s">
        <v>14</v>
      </c>
      <c r="G177">
        <v>1</v>
      </c>
      <c r="H177">
        <v>500</v>
      </c>
      <c r="I177">
        <v>800</v>
      </c>
      <c r="J177">
        <v>349</v>
      </c>
      <c r="K177">
        <v>451</v>
      </c>
    </row>
    <row r="178" spans="1:11" x14ac:dyDescent="0.3">
      <c r="A178">
        <v>1177</v>
      </c>
      <c r="B178" s="1">
        <v>45408</v>
      </c>
      <c r="C178" t="s">
        <v>20</v>
      </c>
      <c r="D178" t="s">
        <v>16</v>
      </c>
      <c r="E178" t="s">
        <v>32</v>
      </c>
      <c r="F178" t="s">
        <v>27</v>
      </c>
      <c r="G178">
        <v>3</v>
      </c>
      <c r="H178">
        <v>20000</v>
      </c>
      <c r="I178">
        <v>25000</v>
      </c>
      <c r="J178">
        <v>3</v>
      </c>
      <c r="K178">
        <v>74997</v>
      </c>
    </row>
    <row r="179" spans="1:11" x14ac:dyDescent="0.3">
      <c r="A179">
        <v>1178</v>
      </c>
      <c r="B179" s="1">
        <v>45384</v>
      </c>
      <c r="C179" t="s">
        <v>11</v>
      </c>
      <c r="D179" t="s">
        <v>12</v>
      </c>
      <c r="E179" t="s">
        <v>29</v>
      </c>
      <c r="F179" t="s">
        <v>27</v>
      </c>
      <c r="G179">
        <v>1</v>
      </c>
      <c r="H179">
        <v>4000</v>
      </c>
      <c r="I179">
        <v>5500</v>
      </c>
      <c r="J179">
        <v>894</v>
      </c>
      <c r="K179">
        <v>4606</v>
      </c>
    </row>
    <row r="180" spans="1:11" x14ac:dyDescent="0.3">
      <c r="A180">
        <v>1179</v>
      </c>
      <c r="B180" s="1">
        <v>45401</v>
      </c>
      <c r="C180" t="s">
        <v>11</v>
      </c>
      <c r="D180" t="s">
        <v>21</v>
      </c>
      <c r="E180" t="s">
        <v>13</v>
      </c>
      <c r="F180" t="s">
        <v>14</v>
      </c>
      <c r="G180">
        <v>4</v>
      </c>
      <c r="H180">
        <v>500</v>
      </c>
      <c r="I180">
        <v>800</v>
      </c>
      <c r="J180">
        <v>1860</v>
      </c>
      <c r="K180">
        <v>1340</v>
      </c>
    </row>
    <row r="181" spans="1:11" x14ac:dyDescent="0.3">
      <c r="A181">
        <v>1180</v>
      </c>
      <c r="B181" s="1">
        <v>45366</v>
      </c>
      <c r="C181" t="s">
        <v>15</v>
      </c>
      <c r="D181" t="s">
        <v>12</v>
      </c>
      <c r="E181" t="s">
        <v>31</v>
      </c>
      <c r="F181" t="s">
        <v>14</v>
      </c>
      <c r="G181">
        <v>4</v>
      </c>
      <c r="H181">
        <v>1000</v>
      </c>
      <c r="I181">
        <v>1500</v>
      </c>
      <c r="J181">
        <v>756</v>
      </c>
      <c r="K181">
        <v>5244</v>
      </c>
    </row>
    <row r="182" spans="1:11" x14ac:dyDescent="0.3">
      <c r="A182">
        <v>1181</v>
      </c>
      <c r="B182" s="1">
        <v>45359</v>
      </c>
      <c r="C182" t="s">
        <v>11</v>
      </c>
      <c r="D182" t="s">
        <v>30</v>
      </c>
      <c r="E182" t="s">
        <v>33</v>
      </c>
      <c r="F182" t="s">
        <v>27</v>
      </c>
      <c r="G182">
        <v>4</v>
      </c>
      <c r="H182">
        <v>2000</v>
      </c>
      <c r="I182">
        <v>2500</v>
      </c>
      <c r="J182">
        <v>949</v>
      </c>
      <c r="K182">
        <v>9051</v>
      </c>
    </row>
    <row r="183" spans="1:11" x14ac:dyDescent="0.3">
      <c r="A183">
        <v>1182</v>
      </c>
      <c r="B183" s="1">
        <v>45467</v>
      </c>
      <c r="C183" t="s">
        <v>15</v>
      </c>
      <c r="D183" t="s">
        <v>16</v>
      </c>
      <c r="E183" t="s">
        <v>26</v>
      </c>
      <c r="F183" t="s">
        <v>27</v>
      </c>
      <c r="G183">
        <v>6</v>
      </c>
      <c r="H183">
        <v>5000</v>
      </c>
      <c r="I183">
        <v>6500</v>
      </c>
      <c r="J183">
        <v>1352</v>
      </c>
      <c r="K183">
        <v>37648</v>
      </c>
    </row>
    <row r="184" spans="1:11" x14ac:dyDescent="0.3">
      <c r="A184">
        <v>1183</v>
      </c>
      <c r="B184" s="1">
        <v>45397</v>
      </c>
      <c r="C184" t="s">
        <v>15</v>
      </c>
      <c r="D184" t="s">
        <v>16</v>
      </c>
      <c r="E184" t="s">
        <v>22</v>
      </c>
      <c r="F184" t="s">
        <v>14</v>
      </c>
      <c r="G184">
        <v>2</v>
      </c>
      <c r="H184">
        <v>300</v>
      </c>
      <c r="I184">
        <v>600</v>
      </c>
      <c r="J184">
        <v>571</v>
      </c>
      <c r="K184">
        <v>629</v>
      </c>
    </row>
    <row r="185" spans="1:11" x14ac:dyDescent="0.3">
      <c r="A185">
        <v>1184</v>
      </c>
      <c r="B185" s="1">
        <v>45399</v>
      </c>
      <c r="C185" t="s">
        <v>20</v>
      </c>
      <c r="D185" t="s">
        <v>28</v>
      </c>
      <c r="E185" t="s">
        <v>26</v>
      </c>
      <c r="F185" t="s">
        <v>27</v>
      </c>
      <c r="G185">
        <v>1</v>
      </c>
      <c r="H185">
        <v>5000</v>
      </c>
      <c r="I185">
        <v>6500</v>
      </c>
      <c r="J185">
        <v>1508</v>
      </c>
      <c r="K185">
        <v>4992</v>
      </c>
    </row>
    <row r="186" spans="1:11" x14ac:dyDescent="0.3">
      <c r="A186">
        <v>1185</v>
      </c>
      <c r="B186" s="1">
        <v>45391</v>
      </c>
      <c r="C186" t="s">
        <v>11</v>
      </c>
      <c r="D186" t="s">
        <v>30</v>
      </c>
      <c r="E186" t="s">
        <v>19</v>
      </c>
      <c r="F186" t="s">
        <v>14</v>
      </c>
      <c r="G186">
        <v>4</v>
      </c>
      <c r="H186">
        <v>40000</v>
      </c>
      <c r="I186">
        <v>45000</v>
      </c>
      <c r="J186">
        <v>1236</v>
      </c>
      <c r="K186">
        <v>178764</v>
      </c>
    </row>
    <row r="187" spans="1:11" x14ac:dyDescent="0.3">
      <c r="A187">
        <v>1186</v>
      </c>
      <c r="B187" s="1">
        <v>45406</v>
      </c>
      <c r="C187" t="s">
        <v>18</v>
      </c>
      <c r="D187" t="s">
        <v>16</v>
      </c>
      <c r="E187" t="s">
        <v>31</v>
      </c>
      <c r="F187" t="s">
        <v>14</v>
      </c>
      <c r="G187">
        <v>5</v>
      </c>
      <c r="H187">
        <v>1000</v>
      </c>
      <c r="I187">
        <v>1500</v>
      </c>
      <c r="J187">
        <v>1259</v>
      </c>
      <c r="K187">
        <v>6241</v>
      </c>
    </row>
    <row r="188" spans="1:11" x14ac:dyDescent="0.3">
      <c r="A188">
        <v>1187</v>
      </c>
      <c r="B188" s="1">
        <v>45338</v>
      </c>
      <c r="C188" t="s">
        <v>11</v>
      </c>
      <c r="D188" t="s">
        <v>23</v>
      </c>
      <c r="E188" t="s">
        <v>25</v>
      </c>
      <c r="F188" t="s">
        <v>14</v>
      </c>
      <c r="G188">
        <v>6</v>
      </c>
      <c r="H188">
        <v>15000</v>
      </c>
      <c r="I188">
        <v>18000</v>
      </c>
      <c r="J188">
        <v>1734</v>
      </c>
      <c r="K188">
        <v>106266</v>
      </c>
    </row>
    <row r="189" spans="1:11" x14ac:dyDescent="0.3">
      <c r="A189">
        <v>1188</v>
      </c>
      <c r="B189" s="1">
        <v>45363</v>
      </c>
      <c r="C189" t="s">
        <v>11</v>
      </c>
      <c r="D189" t="s">
        <v>28</v>
      </c>
      <c r="E189" t="s">
        <v>33</v>
      </c>
      <c r="F189" t="s">
        <v>27</v>
      </c>
      <c r="G189">
        <v>6</v>
      </c>
      <c r="H189">
        <v>2000</v>
      </c>
      <c r="I189">
        <v>2500</v>
      </c>
      <c r="J189">
        <v>1236</v>
      </c>
      <c r="K189">
        <v>13764</v>
      </c>
    </row>
    <row r="190" spans="1:11" x14ac:dyDescent="0.3">
      <c r="A190">
        <v>1189</v>
      </c>
      <c r="B190" s="1">
        <v>45455</v>
      </c>
      <c r="C190" t="s">
        <v>18</v>
      </c>
      <c r="D190" t="s">
        <v>28</v>
      </c>
      <c r="E190" t="s">
        <v>25</v>
      </c>
      <c r="F190" t="s">
        <v>14</v>
      </c>
      <c r="G190">
        <v>5</v>
      </c>
      <c r="H190">
        <v>15000</v>
      </c>
      <c r="I190">
        <v>18000</v>
      </c>
      <c r="J190">
        <v>1444</v>
      </c>
      <c r="K190">
        <v>88556</v>
      </c>
    </row>
    <row r="191" spans="1:11" x14ac:dyDescent="0.3">
      <c r="A191">
        <v>1190</v>
      </c>
      <c r="B191" s="1">
        <v>45370</v>
      </c>
      <c r="C191" t="s">
        <v>11</v>
      </c>
      <c r="D191" t="s">
        <v>16</v>
      </c>
      <c r="E191" t="s">
        <v>31</v>
      </c>
      <c r="F191" t="s">
        <v>14</v>
      </c>
      <c r="G191">
        <v>5</v>
      </c>
      <c r="H191">
        <v>1000</v>
      </c>
      <c r="I191">
        <v>1500</v>
      </c>
      <c r="J191">
        <v>686</v>
      </c>
      <c r="K191">
        <v>6814</v>
      </c>
    </row>
    <row r="192" spans="1:11" x14ac:dyDescent="0.3">
      <c r="A192">
        <v>1191</v>
      </c>
      <c r="B192" s="1">
        <v>45336</v>
      </c>
      <c r="C192" t="s">
        <v>15</v>
      </c>
      <c r="D192" t="s">
        <v>16</v>
      </c>
      <c r="E192" t="s">
        <v>17</v>
      </c>
      <c r="F192" t="s">
        <v>14</v>
      </c>
      <c r="G192">
        <v>6</v>
      </c>
      <c r="H192">
        <v>8000</v>
      </c>
      <c r="I192">
        <v>9500</v>
      </c>
      <c r="J192">
        <v>936</v>
      </c>
      <c r="K192">
        <v>56064</v>
      </c>
    </row>
    <row r="193" spans="1:11" x14ac:dyDescent="0.3">
      <c r="A193">
        <v>1192</v>
      </c>
      <c r="B193" s="1">
        <v>45326</v>
      </c>
      <c r="C193" t="s">
        <v>20</v>
      </c>
      <c r="D193" t="s">
        <v>28</v>
      </c>
      <c r="E193" t="s">
        <v>17</v>
      </c>
      <c r="F193" t="s">
        <v>14</v>
      </c>
      <c r="G193">
        <v>3</v>
      </c>
      <c r="H193">
        <v>8000</v>
      </c>
      <c r="I193">
        <v>9500</v>
      </c>
      <c r="J193">
        <v>1522</v>
      </c>
      <c r="K193">
        <v>26978</v>
      </c>
    </row>
    <row r="194" spans="1:11" x14ac:dyDescent="0.3">
      <c r="A194">
        <v>1193</v>
      </c>
      <c r="B194" s="1">
        <v>45413</v>
      </c>
      <c r="C194" t="s">
        <v>15</v>
      </c>
      <c r="D194" t="s">
        <v>23</v>
      </c>
      <c r="E194" t="s">
        <v>13</v>
      </c>
      <c r="F194" t="s">
        <v>14</v>
      </c>
      <c r="G194">
        <v>3</v>
      </c>
      <c r="H194">
        <v>500</v>
      </c>
      <c r="I194">
        <v>800</v>
      </c>
      <c r="J194">
        <v>1884</v>
      </c>
      <c r="K194">
        <v>516</v>
      </c>
    </row>
    <row r="195" spans="1:11" x14ac:dyDescent="0.3">
      <c r="A195">
        <v>1194</v>
      </c>
      <c r="B195" s="1">
        <v>45453</v>
      </c>
      <c r="C195" t="s">
        <v>20</v>
      </c>
      <c r="D195" t="s">
        <v>28</v>
      </c>
      <c r="E195" t="s">
        <v>33</v>
      </c>
      <c r="F195" t="s">
        <v>27</v>
      </c>
      <c r="G195">
        <v>4</v>
      </c>
      <c r="H195">
        <v>2000</v>
      </c>
      <c r="I195">
        <v>2500</v>
      </c>
      <c r="J195">
        <v>1987</v>
      </c>
      <c r="K195">
        <v>8013</v>
      </c>
    </row>
    <row r="196" spans="1:11" x14ac:dyDescent="0.3">
      <c r="A196">
        <v>1195</v>
      </c>
      <c r="B196" s="1">
        <v>45330</v>
      </c>
      <c r="C196" t="s">
        <v>18</v>
      </c>
      <c r="D196" t="s">
        <v>16</v>
      </c>
      <c r="E196" t="s">
        <v>31</v>
      </c>
      <c r="F196" t="s">
        <v>14</v>
      </c>
      <c r="G196">
        <v>5</v>
      </c>
      <c r="H196">
        <v>1000</v>
      </c>
      <c r="I196">
        <v>1500</v>
      </c>
      <c r="J196">
        <v>884</v>
      </c>
      <c r="K196">
        <v>6616</v>
      </c>
    </row>
    <row r="197" spans="1:11" x14ac:dyDescent="0.3">
      <c r="A197">
        <v>1196</v>
      </c>
      <c r="B197" s="1">
        <v>45341</v>
      </c>
      <c r="C197" t="s">
        <v>18</v>
      </c>
      <c r="D197" t="s">
        <v>23</v>
      </c>
      <c r="E197" t="s">
        <v>33</v>
      </c>
      <c r="F197" t="s">
        <v>27</v>
      </c>
      <c r="G197">
        <v>2</v>
      </c>
      <c r="H197">
        <v>2000</v>
      </c>
      <c r="I197">
        <v>2500</v>
      </c>
      <c r="J197">
        <v>133</v>
      </c>
      <c r="K197">
        <v>4867</v>
      </c>
    </row>
    <row r="198" spans="1:11" x14ac:dyDescent="0.3">
      <c r="A198">
        <v>1197</v>
      </c>
      <c r="B198" s="1">
        <v>45372</v>
      </c>
      <c r="C198" t="s">
        <v>20</v>
      </c>
      <c r="D198" t="s">
        <v>12</v>
      </c>
      <c r="E198" t="s">
        <v>26</v>
      </c>
      <c r="F198" t="s">
        <v>27</v>
      </c>
      <c r="G198">
        <v>3</v>
      </c>
      <c r="H198">
        <v>5000</v>
      </c>
      <c r="I198">
        <v>6500</v>
      </c>
      <c r="J198">
        <v>553</v>
      </c>
      <c r="K198">
        <v>18947</v>
      </c>
    </row>
    <row r="199" spans="1:11" x14ac:dyDescent="0.3">
      <c r="A199">
        <v>1198</v>
      </c>
      <c r="B199" s="1">
        <v>45408</v>
      </c>
      <c r="C199" t="s">
        <v>20</v>
      </c>
      <c r="D199" t="s">
        <v>12</v>
      </c>
      <c r="E199" t="s">
        <v>19</v>
      </c>
      <c r="F199" t="s">
        <v>14</v>
      </c>
      <c r="G199">
        <v>2</v>
      </c>
      <c r="H199">
        <v>40000</v>
      </c>
      <c r="I199">
        <v>45000</v>
      </c>
      <c r="J199">
        <v>503</v>
      </c>
      <c r="K199">
        <v>89497</v>
      </c>
    </row>
    <row r="200" spans="1:11" x14ac:dyDescent="0.3">
      <c r="A200">
        <v>1199</v>
      </c>
      <c r="B200" s="1">
        <v>45468</v>
      </c>
      <c r="C200" t="s">
        <v>11</v>
      </c>
      <c r="D200" t="s">
        <v>16</v>
      </c>
      <c r="E200" t="s">
        <v>22</v>
      </c>
      <c r="F200" t="s">
        <v>14</v>
      </c>
      <c r="G200">
        <v>3</v>
      </c>
      <c r="H200">
        <v>300</v>
      </c>
      <c r="I200">
        <v>600</v>
      </c>
      <c r="J200">
        <v>1468</v>
      </c>
      <c r="K200">
        <v>332</v>
      </c>
    </row>
    <row r="201" spans="1:11" x14ac:dyDescent="0.3">
      <c r="A201">
        <v>1200</v>
      </c>
      <c r="B201" s="1">
        <v>45436</v>
      </c>
      <c r="C201" t="s">
        <v>20</v>
      </c>
      <c r="D201" t="s">
        <v>28</v>
      </c>
      <c r="E201" t="s">
        <v>33</v>
      </c>
      <c r="F201" t="s">
        <v>27</v>
      </c>
      <c r="G201">
        <v>6</v>
      </c>
      <c r="H201">
        <v>2000</v>
      </c>
      <c r="I201">
        <v>2500</v>
      </c>
      <c r="J201">
        <v>1999</v>
      </c>
      <c r="K201">
        <v>13001</v>
      </c>
    </row>
    <row r="202" spans="1:11" x14ac:dyDescent="0.3">
      <c r="A202">
        <v>1201</v>
      </c>
      <c r="B202" s="1">
        <v>45404</v>
      </c>
      <c r="C202" t="s">
        <v>18</v>
      </c>
      <c r="D202" t="s">
        <v>16</v>
      </c>
      <c r="E202" t="s">
        <v>32</v>
      </c>
      <c r="F202" t="s">
        <v>27</v>
      </c>
      <c r="G202">
        <v>1</v>
      </c>
      <c r="H202">
        <v>20000</v>
      </c>
      <c r="I202">
        <v>25000</v>
      </c>
      <c r="J202">
        <v>1231</v>
      </c>
      <c r="K202">
        <v>23769</v>
      </c>
    </row>
    <row r="203" spans="1:11" x14ac:dyDescent="0.3">
      <c r="A203">
        <v>1202</v>
      </c>
      <c r="B203" s="1">
        <v>45456</v>
      </c>
      <c r="C203" t="s">
        <v>15</v>
      </c>
      <c r="D203" t="s">
        <v>28</v>
      </c>
      <c r="E203" t="s">
        <v>25</v>
      </c>
      <c r="F203" t="s">
        <v>14</v>
      </c>
      <c r="G203">
        <v>5</v>
      </c>
      <c r="H203">
        <v>15000</v>
      </c>
      <c r="I203">
        <v>18000</v>
      </c>
      <c r="J203">
        <v>1649</v>
      </c>
      <c r="K203">
        <v>88351</v>
      </c>
    </row>
    <row r="204" spans="1:11" x14ac:dyDescent="0.3">
      <c r="A204">
        <v>1203</v>
      </c>
      <c r="B204" s="1">
        <v>45292</v>
      </c>
      <c r="C204" t="s">
        <v>11</v>
      </c>
      <c r="D204" t="s">
        <v>30</v>
      </c>
      <c r="E204" t="s">
        <v>24</v>
      </c>
      <c r="F204" t="s">
        <v>14</v>
      </c>
      <c r="G204">
        <v>6</v>
      </c>
      <c r="H204">
        <v>7000</v>
      </c>
      <c r="I204">
        <v>9000</v>
      </c>
      <c r="J204">
        <v>560</v>
      </c>
      <c r="K204">
        <v>53440</v>
      </c>
    </row>
    <row r="205" spans="1:11" x14ac:dyDescent="0.3">
      <c r="A205">
        <v>1204</v>
      </c>
      <c r="B205" s="1">
        <v>45452</v>
      </c>
      <c r="C205" t="s">
        <v>15</v>
      </c>
      <c r="D205" t="s">
        <v>16</v>
      </c>
      <c r="E205" t="s">
        <v>24</v>
      </c>
      <c r="F205" t="s">
        <v>14</v>
      </c>
      <c r="G205">
        <v>2</v>
      </c>
      <c r="H205">
        <v>7000</v>
      </c>
      <c r="I205">
        <v>9000</v>
      </c>
      <c r="J205">
        <v>116</v>
      </c>
      <c r="K205">
        <v>17884</v>
      </c>
    </row>
    <row r="206" spans="1:11" x14ac:dyDescent="0.3">
      <c r="A206">
        <v>1205</v>
      </c>
      <c r="B206" s="1">
        <v>45317</v>
      </c>
      <c r="C206" t="s">
        <v>18</v>
      </c>
      <c r="D206" t="s">
        <v>12</v>
      </c>
      <c r="E206" t="s">
        <v>13</v>
      </c>
      <c r="F206" t="s">
        <v>14</v>
      </c>
      <c r="G206">
        <v>3</v>
      </c>
      <c r="H206">
        <v>500</v>
      </c>
      <c r="I206">
        <v>800</v>
      </c>
      <c r="J206">
        <v>231</v>
      </c>
      <c r="K206">
        <v>2169</v>
      </c>
    </row>
    <row r="207" spans="1:11" x14ac:dyDescent="0.3">
      <c r="A207">
        <v>1206</v>
      </c>
      <c r="B207" s="1">
        <v>45429</v>
      </c>
      <c r="C207" t="s">
        <v>15</v>
      </c>
      <c r="D207" t="s">
        <v>23</v>
      </c>
      <c r="E207" t="s">
        <v>19</v>
      </c>
      <c r="F207" t="s">
        <v>14</v>
      </c>
      <c r="G207">
        <v>1</v>
      </c>
      <c r="H207">
        <v>40000</v>
      </c>
      <c r="I207">
        <v>45000</v>
      </c>
      <c r="J207">
        <v>1646</v>
      </c>
      <c r="K207">
        <v>43354</v>
      </c>
    </row>
    <row r="208" spans="1:11" x14ac:dyDescent="0.3">
      <c r="A208">
        <v>1207</v>
      </c>
      <c r="B208" s="1">
        <v>45439</v>
      </c>
      <c r="C208" t="s">
        <v>15</v>
      </c>
      <c r="D208" t="s">
        <v>23</v>
      </c>
      <c r="E208" t="s">
        <v>22</v>
      </c>
      <c r="F208" t="s">
        <v>14</v>
      </c>
      <c r="G208">
        <v>4</v>
      </c>
      <c r="H208">
        <v>300</v>
      </c>
      <c r="I208">
        <v>600</v>
      </c>
      <c r="J208">
        <v>1212</v>
      </c>
      <c r="K208">
        <v>1188</v>
      </c>
    </row>
    <row r="209" spans="1:11" x14ac:dyDescent="0.3">
      <c r="A209">
        <v>1208</v>
      </c>
      <c r="B209" s="1">
        <v>45293</v>
      </c>
      <c r="C209" t="s">
        <v>15</v>
      </c>
      <c r="D209" t="s">
        <v>21</v>
      </c>
      <c r="E209" t="s">
        <v>13</v>
      </c>
      <c r="F209" t="s">
        <v>14</v>
      </c>
      <c r="G209">
        <v>1</v>
      </c>
      <c r="H209">
        <v>500</v>
      </c>
      <c r="I209">
        <v>800</v>
      </c>
      <c r="J209">
        <v>14</v>
      </c>
      <c r="K209">
        <v>786</v>
      </c>
    </row>
    <row r="210" spans="1:11" x14ac:dyDescent="0.3">
      <c r="A210">
        <v>1209</v>
      </c>
      <c r="B210" s="1">
        <v>45297</v>
      </c>
      <c r="C210" t="s">
        <v>15</v>
      </c>
      <c r="D210" t="s">
        <v>21</v>
      </c>
      <c r="E210" t="s">
        <v>13</v>
      </c>
      <c r="F210" t="s">
        <v>14</v>
      </c>
      <c r="G210">
        <v>1</v>
      </c>
      <c r="H210">
        <v>500</v>
      </c>
      <c r="I210">
        <v>800</v>
      </c>
      <c r="J210">
        <v>1560</v>
      </c>
      <c r="K210">
        <v>-760</v>
      </c>
    </row>
    <row r="211" spans="1:11" x14ac:dyDescent="0.3">
      <c r="A211">
        <v>1210</v>
      </c>
      <c r="B211" s="1">
        <v>45459</v>
      </c>
      <c r="C211" t="s">
        <v>11</v>
      </c>
      <c r="D211" t="s">
        <v>21</v>
      </c>
      <c r="E211" t="s">
        <v>19</v>
      </c>
      <c r="F211" t="s">
        <v>14</v>
      </c>
      <c r="G211">
        <v>1</v>
      </c>
      <c r="H211">
        <v>40000</v>
      </c>
      <c r="I211">
        <v>45000</v>
      </c>
      <c r="J211">
        <v>1366</v>
      </c>
      <c r="K211">
        <v>43634</v>
      </c>
    </row>
    <row r="212" spans="1:11" x14ac:dyDescent="0.3">
      <c r="A212">
        <v>1211</v>
      </c>
      <c r="B212" s="1">
        <v>45395</v>
      </c>
      <c r="C212" t="s">
        <v>18</v>
      </c>
      <c r="D212" t="s">
        <v>30</v>
      </c>
      <c r="E212" t="s">
        <v>29</v>
      </c>
      <c r="F212" t="s">
        <v>27</v>
      </c>
      <c r="G212">
        <v>3</v>
      </c>
      <c r="H212">
        <v>4000</v>
      </c>
      <c r="I212">
        <v>5500</v>
      </c>
      <c r="J212">
        <v>794</v>
      </c>
      <c r="K212">
        <v>15706</v>
      </c>
    </row>
    <row r="213" spans="1:11" x14ac:dyDescent="0.3">
      <c r="A213">
        <v>1212</v>
      </c>
      <c r="B213" s="1">
        <v>45316</v>
      </c>
      <c r="C213" t="s">
        <v>20</v>
      </c>
      <c r="D213" t="s">
        <v>21</v>
      </c>
      <c r="E213" t="s">
        <v>25</v>
      </c>
      <c r="F213" t="s">
        <v>14</v>
      </c>
      <c r="G213">
        <v>2</v>
      </c>
      <c r="H213">
        <v>15000</v>
      </c>
      <c r="I213">
        <v>18000</v>
      </c>
      <c r="J213">
        <v>72</v>
      </c>
      <c r="K213">
        <v>35928</v>
      </c>
    </row>
    <row r="214" spans="1:11" x14ac:dyDescent="0.3">
      <c r="A214">
        <v>1213</v>
      </c>
      <c r="B214" s="1">
        <v>45394</v>
      </c>
      <c r="C214" t="s">
        <v>15</v>
      </c>
      <c r="D214" t="s">
        <v>30</v>
      </c>
      <c r="E214" t="s">
        <v>32</v>
      </c>
      <c r="F214" t="s">
        <v>27</v>
      </c>
      <c r="G214">
        <v>3</v>
      </c>
      <c r="H214">
        <v>20000</v>
      </c>
      <c r="I214">
        <v>25000</v>
      </c>
      <c r="J214">
        <v>1090</v>
      </c>
      <c r="K214">
        <v>73910</v>
      </c>
    </row>
    <row r="215" spans="1:11" x14ac:dyDescent="0.3">
      <c r="A215">
        <v>1214</v>
      </c>
      <c r="B215" s="1">
        <v>45378</v>
      </c>
      <c r="C215" t="s">
        <v>20</v>
      </c>
      <c r="D215" t="s">
        <v>12</v>
      </c>
      <c r="E215" t="s">
        <v>26</v>
      </c>
      <c r="F215" t="s">
        <v>27</v>
      </c>
      <c r="G215">
        <v>2</v>
      </c>
      <c r="H215">
        <v>5000</v>
      </c>
      <c r="I215">
        <v>6500</v>
      </c>
      <c r="J215">
        <v>832</v>
      </c>
      <c r="K215">
        <v>12168</v>
      </c>
    </row>
    <row r="216" spans="1:11" x14ac:dyDescent="0.3">
      <c r="A216">
        <v>1215</v>
      </c>
      <c r="B216" s="1">
        <v>45418</v>
      </c>
      <c r="C216" t="s">
        <v>11</v>
      </c>
      <c r="D216" t="s">
        <v>21</v>
      </c>
      <c r="E216" t="s">
        <v>25</v>
      </c>
      <c r="F216" t="s">
        <v>14</v>
      </c>
      <c r="G216">
        <v>3</v>
      </c>
      <c r="H216">
        <v>15000</v>
      </c>
      <c r="I216">
        <v>18000</v>
      </c>
      <c r="J216">
        <v>1862</v>
      </c>
      <c r="K216">
        <v>52138</v>
      </c>
    </row>
    <row r="217" spans="1:11" x14ac:dyDescent="0.3">
      <c r="A217">
        <v>1216</v>
      </c>
      <c r="B217" s="1">
        <v>45418</v>
      </c>
      <c r="C217" t="s">
        <v>18</v>
      </c>
      <c r="D217" t="s">
        <v>16</v>
      </c>
      <c r="E217" t="s">
        <v>24</v>
      </c>
      <c r="F217" t="s">
        <v>14</v>
      </c>
      <c r="G217">
        <v>1</v>
      </c>
      <c r="H217">
        <v>7000</v>
      </c>
      <c r="I217">
        <v>9000</v>
      </c>
      <c r="J217">
        <v>1281</v>
      </c>
      <c r="K217">
        <v>7719</v>
      </c>
    </row>
    <row r="218" spans="1:11" x14ac:dyDescent="0.3">
      <c r="A218">
        <v>1217</v>
      </c>
      <c r="B218" s="1">
        <v>45428</v>
      </c>
      <c r="C218" t="s">
        <v>15</v>
      </c>
      <c r="D218" t="s">
        <v>23</v>
      </c>
      <c r="E218" t="s">
        <v>29</v>
      </c>
      <c r="F218" t="s">
        <v>27</v>
      </c>
      <c r="G218">
        <v>4</v>
      </c>
      <c r="H218">
        <v>4000</v>
      </c>
      <c r="I218">
        <v>5500</v>
      </c>
      <c r="J218">
        <v>587</v>
      </c>
      <c r="K218">
        <v>21413</v>
      </c>
    </row>
    <row r="219" spans="1:11" x14ac:dyDescent="0.3">
      <c r="A219">
        <v>1218</v>
      </c>
      <c r="B219" s="1">
        <v>45322</v>
      </c>
      <c r="C219" t="s">
        <v>15</v>
      </c>
      <c r="D219" t="s">
        <v>21</v>
      </c>
      <c r="E219" t="s">
        <v>32</v>
      </c>
      <c r="F219" t="s">
        <v>27</v>
      </c>
      <c r="G219">
        <v>1</v>
      </c>
      <c r="H219">
        <v>20000</v>
      </c>
      <c r="I219">
        <v>25000</v>
      </c>
      <c r="J219">
        <v>1556</v>
      </c>
      <c r="K219">
        <v>23444</v>
      </c>
    </row>
    <row r="220" spans="1:11" x14ac:dyDescent="0.3">
      <c r="A220">
        <v>1219</v>
      </c>
      <c r="B220" s="1">
        <v>45354</v>
      </c>
      <c r="C220" t="s">
        <v>11</v>
      </c>
      <c r="D220" t="s">
        <v>30</v>
      </c>
      <c r="E220" t="s">
        <v>22</v>
      </c>
      <c r="F220" t="s">
        <v>14</v>
      </c>
      <c r="G220">
        <v>4</v>
      </c>
      <c r="H220">
        <v>300</v>
      </c>
      <c r="I220">
        <v>600</v>
      </c>
      <c r="J220">
        <v>363</v>
      </c>
      <c r="K220">
        <v>2037</v>
      </c>
    </row>
    <row r="221" spans="1:11" x14ac:dyDescent="0.3">
      <c r="A221">
        <v>1220</v>
      </c>
      <c r="B221" s="1">
        <v>45443</v>
      </c>
      <c r="C221" t="s">
        <v>18</v>
      </c>
      <c r="D221" t="s">
        <v>16</v>
      </c>
      <c r="E221" t="s">
        <v>19</v>
      </c>
      <c r="F221" t="s">
        <v>14</v>
      </c>
      <c r="G221">
        <v>1</v>
      </c>
      <c r="H221">
        <v>40000</v>
      </c>
      <c r="I221">
        <v>45000</v>
      </c>
      <c r="J221">
        <v>1832</v>
      </c>
      <c r="K221">
        <v>43168</v>
      </c>
    </row>
    <row r="222" spans="1:11" x14ac:dyDescent="0.3">
      <c r="A222">
        <v>1221</v>
      </c>
      <c r="B222" s="1">
        <v>45381</v>
      </c>
      <c r="C222" t="s">
        <v>20</v>
      </c>
      <c r="D222" t="s">
        <v>12</v>
      </c>
      <c r="E222" t="s">
        <v>13</v>
      </c>
      <c r="F222" t="s">
        <v>14</v>
      </c>
      <c r="G222">
        <v>1</v>
      </c>
      <c r="H222">
        <v>500</v>
      </c>
      <c r="I222">
        <v>800</v>
      </c>
      <c r="J222">
        <v>1558</v>
      </c>
      <c r="K222">
        <v>-758</v>
      </c>
    </row>
    <row r="223" spans="1:11" x14ac:dyDescent="0.3">
      <c r="A223">
        <v>1222</v>
      </c>
      <c r="B223" s="1">
        <v>45293</v>
      </c>
      <c r="C223" t="s">
        <v>20</v>
      </c>
      <c r="D223" t="s">
        <v>28</v>
      </c>
      <c r="E223" t="s">
        <v>17</v>
      </c>
      <c r="F223" t="s">
        <v>14</v>
      </c>
      <c r="G223">
        <v>1</v>
      </c>
      <c r="H223">
        <v>8000</v>
      </c>
      <c r="I223">
        <v>9500</v>
      </c>
      <c r="J223">
        <v>830</v>
      </c>
      <c r="K223">
        <v>8670</v>
      </c>
    </row>
    <row r="224" spans="1:11" x14ac:dyDescent="0.3">
      <c r="A224">
        <v>1223</v>
      </c>
      <c r="B224" s="1">
        <v>45354</v>
      </c>
      <c r="C224" t="s">
        <v>20</v>
      </c>
      <c r="D224" t="s">
        <v>28</v>
      </c>
      <c r="E224" t="s">
        <v>31</v>
      </c>
      <c r="F224" t="s">
        <v>14</v>
      </c>
      <c r="G224">
        <v>5</v>
      </c>
      <c r="H224">
        <v>1000</v>
      </c>
      <c r="I224">
        <v>1500</v>
      </c>
      <c r="J224">
        <v>1796</v>
      </c>
      <c r="K224">
        <v>5704</v>
      </c>
    </row>
    <row r="225" spans="1:11" x14ac:dyDescent="0.3">
      <c r="A225">
        <v>1224</v>
      </c>
      <c r="B225" s="1">
        <v>45417</v>
      </c>
      <c r="C225" t="s">
        <v>20</v>
      </c>
      <c r="D225" t="s">
        <v>23</v>
      </c>
      <c r="E225" t="s">
        <v>22</v>
      </c>
      <c r="F225" t="s">
        <v>14</v>
      </c>
      <c r="G225">
        <v>5</v>
      </c>
      <c r="H225">
        <v>300</v>
      </c>
      <c r="I225">
        <v>600</v>
      </c>
      <c r="J225">
        <v>1785</v>
      </c>
      <c r="K225">
        <v>1215</v>
      </c>
    </row>
    <row r="226" spans="1:11" x14ac:dyDescent="0.3">
      <c r="A226">
        <v>1225</v>
      </c>
      <c r="B226" s="1">
        <v>45332</v>
      </c>
      <c r="C226" t="s">
        <v>11</v>
      </c>
      <c r="D226" t="s">
        <v>23</v>
      </c>
      <c r="E226" t="s">
        <v>13</v>
      </c>
      <c r="F226" t="s">
        <v>14</v>
      </c>
      <c r="G226">
        <v>5</v>
      </c>
      <c r="H226">
        <v>500</v>
      </c>
      <c r="I226">
        <v>800</v>
      </c>
      <c r="J226">
        <v>1669</v>
      </c>
      <c r="K226">
        <v>2331</v>
      </c>
    </row>
    <row r="227" spans="1:11" x14ac:dyDescent="0.3">
      <c r="A227">
        <v>1226</v>
      </c>
      <c r="B227" s="1">
        <v>45352</v>
      </c>
      <c r="C227" t="s">
        <v>11</v>
      </c>
      <c r="D227" t="s">
        <v>16</v>
      </c>
      <c r="E227" t="s">
        <v>33</v>
      </c>
      <c r="F227" t="s">
        <v>27</v>
      </c>
      <c r="G227">
        <v>6</v>
      </c>
      <c r="H227">
        <v>2000</v>
      </c>
      <c r="I227">
        <v>2500</v>
      </c>
      <c r="J227">
        <v>319</v>
      </c>
      <c r="K227">
        <v>14681</v>
      </c>
    </row>
    <row r="228" spans="1:11" x14ac:dyDescent="0.3">
      <c r="A228">
        <v>1227</v>
      </c>
      <c r="B228" s="1">
        <v>45415</v>
      </c>
      <c r="C228" t="s">
        <v>15</v>
      </c>
      <c r="D228" t="s">
        <v>30</v>
      </c>
      <c r="E228" t="s">
        <v>31</v>
      </c>
      <c r="F228" t="s">
        <v>14</v>
      </c>
      <c r="G228">
        <v>3</v>
      </c>
      <c r="H228">
        <v>1000</v>
      </c>
      <c r="I228">
        <v>1500</v>
      </c>
      <c r="J228">
        <v>1685</v>
      </c>
      <c r="K228">
        <v>2815</v>
      </c>
    </row>
    <row r="229" spans="1:11" x14ac:dyDescent="0.3">
      <c r="A229">
        <v>1228</v>
      </c>
      <c r="B229" s="1">
        <v>45419</v>
      </c>
      <c r="C229" t="s">
        <v>15</v>
      </c>
      <c r="D229" t="s">
        <v>12</v>
      </c>
      <c r="E229" t="s">
        <v>32</v>
      </c>
      <c r="F229" t="s">
        <v>27</v>
      </c>
      <c r="G229">
        <v>2</v>
      </c>
      <c r="H229">
        <v>20000</v>
      </c>
      <c r="I229">
        <v>25000</v>
      </c>
      <c r="J229">
        <v>1039</v>
      </c>
      <c r="K229">
        <v>48961</v>
      </c>
    </row>
    <row r="230" spans="1:11" x14ac:dyDescent="0.3">
      <c r="A230">
        <v>1229</v>
      </c>
      <c r="B230" s="1">
        <v>45347</v>
      </c>
      <c r="C230" t="s">
        <v>18</v>
      </c>
      <c r="D230" t="s">
        <v>12</v>
      </c>
      <c r="E230" t="s">
        <v>17</v>
      </c>
      <c r="F230" t="s">
        <v>14</v>
      </c>
      <c r="G230">
        <v>3</v>
      </c>
      <c r="H230">
        <v>8000</v>
      </c>
      <c r="I230">
        <v>9500</v>
      </c>
      <c r="J230">
        <v>219</v>
      </c>
      <c r="K230">
        <v>28281</v>
      </c>
    </row>
    <row r="231" spans="1:11" x14ac:dyDescent="0.3">
      <c r="A231">
        <v>1230</v>
      </c>
      <c r="B231" s="1">
        <v>45423</v>
      </c>
      <c r="C231" t="s">
        <v>20</v>
      </c>
      <c r="D231" t="s">
        <v>12</v>
      </c>
      <c r="E231" t="s">
        <v>31</v>
      </c>
      <c r="F231" t="s">
        <v>14</v>
      </c>
      <c r="G231">
        <v>5</v>
      </c>
      <c r="H231">
        <v>1000</v>
      </c>
      <c r="I231">
        <v>1500</v>
      </c>
      <c r="J231">
        <v>638</v>
      </c>
      <c r="K231">
        <v>6862</v>
      </c>
    </row>
    <row r="232" spans="1:11" x14ac:dyDescent="0.3">
      <c r="A232">
        <v>1231</v>
      </c>
      <c r="B232" s="1">
        <v>45403</v>
      </c>
      <c r="C232" t="s">
        <v>15</v>
      </c>
      <c r="D232" t="s">
        <v>30</v>
      </c>
      <c r="E232" t="s">
        <v>24</v>
      </c>
      <c r="F232" t="s">
        <v>14</v>
      </c>
      <c r="G232">
        <v>4</v>
      </c>
      <c r="H232">
        <v>7000</v>
      </c>
      <c r="I232">
        <v>9000</v>
      </c>
      <c r="J232">
        <v>603</v>
      </c>
      <c r="K232">
        <v>35397</v>
      </c>
    </row>
    <row r="233" spans="1:11" x14ac:dyDescent="0.3">
      <c r="A233">
        <v>1232</v>
      </c>
      <c r="B233" s="1">
        <v>45395</v>
      </c>
      <c r="C233" t="s">
        <v>20</v>
      </c>
      <c r="D233" t="s">
        <v>30</v>
      </c>
      <c r="E233" t="s">
        <v>24</v>
      </c>
      <c r="F233" t="s">
        <v>14</v>
      </c>
      <c r="G233">
        <v>4</v>
      </c>
      <c r="H233">
        <v>7000</v>
      </c>
      <c r="I233">
        <v>9000</v>
      </c>
      <c r="J233">
        <v>1281</v>
      </c>
      <c r="K233">
        <v>34719</v>
      </c>
    </row>
    <row r="234" spans="1:11" x14ac:dyDescent="0.3">
      <c r="A234">
        <v>1233</v>
      </c>
      <c r="B234" s="1">
        <v>45301</v>
      </c>
      <c r="C234" t="s">
        <v>15</v>
      </c>
      <c r="D234" t="s">
        <v>30</v>
      </c>
      <c r="E234" t="s">
        <v>22</v>
      </c>
      <c r="F234" t="s">
        <v>14</v>
      </c>
      <c r="G234">
        <v>4</v>
      </c>
      <c r="H234">
        <v>300</v>
      </c>
      <c r="I234">
        <v>600</v>
      </c>
      <c r="J234">
        <v>922</v>
      </c>
      <c r="K234">
        <v>1478</v>
      </c>
    </row>
    <row r="235" spans="1:11" x14ac:dyDescent="0.3">
      <c r="A235">
        <v>1234</v>
      </c>
      <c r="B235" s="1">
        <v>45455</v>
      </c>
      <c r="C235" t="s">
        <v>11</v>
      </c>
      <c r="D235" t="s">
        <v>30</v>
      </c>
      <c r="E235" t="s">
        <v>17</v>
      </c>
      <c r="F235" t="s">
        <v>14</v>
      </c>
      <c r="G235">
        <v>2</v>
      </c>
      <c r="H235">
        <v>8000</v>
      </c>
      <c r="I235">
        <v>9500</v>
      </c>
      <c r="J235">
        <v>900</v>
      </c>
      <c r="K235">
        <v>18100</v>
      </c>
    </row>
    <row r="236" spans="1:11" x14ac:dyDescent="0.3">
      <c r="A236">
        <v>1235</v>
      </c>
      <c r="B236" s="1">
        <v>45352</v>
      </c>
      <c r="C236" t="s">
        <v>18</v>
      </c>
      <c r="D236" t="s">
        <v>21</v>
      </c>
      <c r="E236" t="s">
        <v>24</v>
      </c>
      <c r="F236" t="s">
        <v>14</v>
      </c>
      <c r="G236">
        <v>6</v>
      </c>
      <c r="H236">
        <v>7000</v>
      </c>
      <c r="I236">
        <v>9000</v>
      </c>
      <c r="J236">
        <v>262</v>
      </c>
      <c r="K236">
        <v>53738</v>
      </c>
    </row>
    <row r="237" spans="1:11" x14ac:dyDescent="0.3">
      <c r="A237">
        <v>1236</v>
      </c>
      <c r="B237" s="1">
        <v>45402</v>
      </c>
      <c r="C237" t="s">
        <v>15</v>
      </c>
      <c r="D237" t="s">
        <v>23</v>
      </c>
      <c r="E237" t="s">
        <v>32</v>
      </c>
      <c r="F237" t="s">
        <v>27</v>
      </c>
      <c r="G237">
        <v>1</v>
      </c>
      <c r="H237">
        <v>20000</v>
      </c>
      <c r="I237">
        <v>25000</v>
      </c>
      <c r="J237">
        <v>1849</v>
      </c>
      <c r="K237">
        <v>23151</v>
      </c>
    </row>
    <row r="238" spans="1:11" x14ac:dyDescent="0.3">
      <c r="A238">
        <v>1237</v>
      </c>
      <c r="B238" s="1">
        <v>45382</v>
      </c>
      <c r="C238" t="s">
        <v>15</v>
      </c>
      <c r="D238" t="s">
        <v>30</v>
      </c>
      <c r="E238" t="s">
        <v>19</v>
      </c>
      <c r="F238" t="s">
        <v>14</v>
      </c>
      <c r="G238">
        <v>4</v>
      </c>
      <c r="H238">
        <v>40000</v>
      </c>
      <c r="I238">
        <v>45000</v>
      </c>
      <c r="J238">
        <v>1757</v>
      </c>
      <c r="K238">
        <v>178243</v>
      </c>
    </row>
    <row r="239" spans="1:11" x14ac:dyDescent="0.3">
      <c r="A239">
        <v>1238</v>
      </c>
      <c r="B239" s="1">
        <v>45468</v>
      </c>
      <c r="C239" t="s">
        <v>18</v>
      </c>
      <c r="D239" t="s">
        <v>21</v>
      </c>
      <c r="E239" t="s">
        <v>22</v>
      </c>
      <c r="F239" t="s">
        <v>14</v>
      </c>
      <c r="G239">
        <v>5</v>
      </c>
      <c r="H239">
        <v>300</v>
      </c>
      <c r="I239">
        <v>600</v>
      </c>
      <c r="J239">
        <v>1708</v>
      </c>
      <c r="K239">
        <v>1292</v>
      </c>
    </row>
    <row r="240" spans="1:11" x14ac:dyDescent="0.3">
      <c r="A240">
        <v>1239</v>
      </c>
      <c r="B240" s="1">
        <v>45325</v>
      </c>
      <c r="C240" t="s">
        <v>20</v>
      </c>
      <c r="D240" t="s">
        <v>23</v>
      </c>
      <c r="E240" t="s">
        <v>25</v>
      </c>
      <c r="F240" t="s">
        <v>14</v>
      </c>
      <c r="G240">
        <v>5</v>
      </c>
      <c r="H240">
        <v>15000</v>
      </c>
      <c r="I240">
        <v>18000</v>
      </c>
      <c r="J240">
        <v>1907</v>
      </c>
      <c r="K240">
        <v>88093</v>
      </c>
    </row>
    <row r="241" spans="1:11" x14ac:dyDescent="0.3">
      <c r="A241">
        <v>1240</v>
      </c>
      <c r="B241" s="1">
        <v>45324</v>
      </c>
      <c r="C241" t="s">
        <v>20</v>
      </c>
      <c r="D241" t="s">
        <v>21</v>
      </c>
      <c r="E241" t="s">
        <v>19</v>
      </c>
      <c r="F241" t="s">
        <v>14</v>
      </c>
      <c r="G241">
        <v>2</v>
      </c>
      <c r="H241">
        <v>40000</v>
      </c>
      <c r="I241">
        <v>45000</v>
      </c>
      <c r="J241">
        <v>929</v>
      </c>
      <c r="K241">
        <v>89071</v>
      </c>
    </row>
    <row r="242" spans="1:11" x14ac:dyDescent="0.3">
      <c r="A242">
        <v>1241</v>
      </c>
      <c r="B242" s="1">
        <v>45466</v>
      </c>
      <c r="C242" t="s">
        <v>11</v>
      </c>
      <c r="D242" t="s">
        <v>16</v>
      </c>
      <c r="E242" t="s">
        <v>26</v>
      </c>
      <c r="F242" t="s">
        <v>27</v>
      </c>
      <c r="G242">
        <v>5</v>
      </c>
      <c r="H242">
        <v>5000</v>
      </c>
      <c r="I242">
        <v>6500</v>
      </c>
      <c r="J242">
        <v>1193</v>
      </c>
      <c r="K242">
        <v>31307</v>
      </c>
    </row>
    <row r="243" spans="1:11" x14ac:dyDescent="0.3">
      <c r="A243">
        <v>1242</v>
      </c>
      <c r="B243" s="1">
        <v>45362</v>
      </c>
      <c r="C243" t="s">
        <v>20</v>
      </c>
      <c r="D243" t="s">
        <v>30</v>
      </c>
      <c r="E243" t="s">
        <v>29</v>
      </c>
      <c r="F243" t="s">
        <v>27</v>
      </c>
      <c r="G243">
        <v>1</v>
      </c>
      <c r="H243">
        <v>4000</v>
      </c>
      <c r="I243">
        <v>5500</v>
      </c>
      <c r="J243">
        <v>1083</v>
      </c>
      <c r="K243">
        <v>4417</v>
      </c>
    </row>
    <row r="244" spans="1:11" x14ac:dyDescent="0.3">
      <c r="A244">
        <v>1243</v>
      </c>
      <c r="B244" s="1">
        <v>45379</v>
      </c>
      <c r="C244" t="s">
        <v>11</v>
      </c>
      <c r="D244" t="s">
        <v>12</v>
      </c>
      <c r="E244" t="s">
        <v>32</v>
      </c>
      <c r="F244" t="s">
        <v>27</v>
      </c>
      <c r="G244">
        <v>1</v>
      </c>
      <c r="H244">
        <v>20000</v>
      </c>
      <c r="I244">
        <v>25000</v>
      </c>
      <c r="J244">
        <v>1228</v>
      </c>
      <c r="K244">
        <v>23772</v>
      </c>
    </row>
    <row r="245" spans="1:11" x14ac:dyDescent="0.3">
      <c r="A245">
        <v>1244</v>
      </c>
      <c r="B245" s="1">
        <v>45309</v>
      </c>
      <c r="C245" t="s">
        <v>15</v>
      </c>
      <c r="D245" t="s">
        <v>21</v>
      </c>
      <c r="E245" t="s">
        <v>33</v>
      </c>
      <c r="F245" t="s">
        <v>27</v>
      </c>
      <c r="G245">
        <v>4</v>
      </c>
      <c r="H245">
        <v>2000</v>
      </c>
      <c r="I245">
        <v>2500</v>
      </c>
      <c r="J245">
        <v>1358</v>
      </c>
      <c r="K245">
        <v>8642</v>
      </c>
    </row>
    <row r="246" spans="1:11" x14ac:dyDescent="0.3">
      <c r="A246">
        <v>1245</v>
      </c>
      <c r="B246" s="1">
        <v>45340</v>
      </c>
      <c r="C246" t="s">
        <v>15</v>
      </c>
      <c r="D246" t="s">
        <v>12</v>
      </c>
      <c r="E246" t="s">
        <v>31</v>
      </c>
      <c r="F246" t="s">
        <v>14</v>
      </c>
      <c r="G246">
        <v>4</v>
      </c>
      <c r="H246">
        <v>1000</v>
      </c>
      <c r="I246">
        <v>1500</v>
      </c>
      <c r="J246">
        <v>852</v>
      </c>
      <c r="K246">
        <v>5148</v>
      </c>
    </row>
    <row r="247" spans="1:11" x14ac:dyDescent="0.3">
      <c r="A247">
        <v>1246</v>
      </c>
      <c r="B247" s="1">
        <v>45423</v>
      </c>
      <c r="C247" t="s">
        <v>18</v>
      </c>
      <c r="D247" t="s">
        <v>16</v>
      </c>
      <c r="E247" t="s">
        <v>32</v>
      </c>
      <c r="F247" t="s">
        <v>27</v>
      </c>
      <c r="G247">
        <v>6</v>
      </c>
      <c r="H247">
        <v>20000</v>
      </c>
      <c r="I247">
        <v>25000</v>
      </c>
      <c r="J247">
        <v>1742</v>
      </c>
      <c r="K247">
        <v>148258</v>
      </c>
    </row>
    <row r="248" spans="1:11" x14ac:dyDescent="0.3">
      <c r="A248">
        <v>1247</v>
      </c>
      <c r="B248" s="1">
        <v>45420</v>
      </c>
      <c r="C248" t="s">
        <v>18</v>
      </c>
      <c r="D248" t="s">
        <v>23</v>
      </c>
      <c r="E248" t="s">
        <v>26</v>
      </c>
      <c r="F248" t="s">
        <v>27</v>
      </c>
      <c r="G248">
        <v>1</v>
      </c>
      <c r="H248">
        <v>5000</v>
      </c>
      <c r="I248">
        <v>6500</v>
      </c>
      <c r="J248">
        <v>428</v>
      </c>
      <c r="K248">
        <v>6072</v>
      </c>
    </row>
    <row r="249" spans="1:11" x14ac:dyDescent="0.3">
      <c r="A249">
        <v>1248</v>
      </c>
      <c r="B249" s="1">
        <v>45326</v>
      </c>
      <c r="C249" t="s">
        <v>11</v>
      </c>
      <c r="D249" t="s">
        <v>23</v>
      </c>
      <c r="E249" t="s">
        <v>32</v>
      </c>
      <c r="F249" t="s">
        <v>27</v>
      </c>
      <c r="G249">
        <v>4</v>
      </c>
      <c r="H249">
        <v>20000</v>
      </c>
      <c r="I249">
        <v>25000</v>
      </c>
      <c r="J249">
        <v>447</v>
      </c>
      <c r="K249">
        <v>99553</v>
      </c>
    </row>
    <row r="250" spans="1:11" x14ac:dyDescent="0.3">
      <c r="A250">
        <v>1249</v>
      </c>
      <c r="B250" s="1">
        <v>45385</v>
      </c>
      <c r="C250" t="s">
        <v>11</v>
      </c>
      <c r="D250" t="s">
        <v>12</v>
      </c>
      <c r="E250" t="s">
        <v>32</v>
      </c>
      <c r="F250" t="s">
        <v>27</v>
      </c>
      <c r="G250">
        <v>1</v>
      </c>
      <c r="H250">
        <v>20000</v>
      </c>
      <c r="I250">
        <v>25000</v>
      </c>
      <c r="J250">
        <v>1476</v>
      </c>
      <c r="K250">
        <v>23524</v>
      </c>
    </row>
    <row r="251" spans="1:11" x14ac:dyDescent="0.3">
      <c r="A251">
        <v>1250</v>
      </c>
      <c r="B251" s="1">
        <v>45364</v>
      </c>
      <c r="C251" t="s">
        <v>18</v>
      </c>
      <c r="D251" t="s">
        <v>23</v>
      </c>
      <c r="E251" t="s">
        <v>13</v>
      </c>
      <c r="F251" t="s">
        <v>14</v>
      </c>
      <c r="G251">
        <v>2</v>
      </c>
      <c r="H251">
        <v>500</v>
      </c>
      <c r="I251">
        <v>800</v>
      </c>
      <c r="J251">
        <v>1053</v>
      </c>
      <c r="K251">
        <v>547</v>
      </c>
    </row>
    <row r="252" spans="1:11" x14ac:dyDescent="0.3">
      <c r="A252">
        <v>1251</v>
      </c>
      <c r="B252" s="1">
        <v>45348</v>
      </c>
      <c r="C252" t="s">
        <v>18</v>
      </c>
      <c r="D252" t="s">
        <v>21</v>
      </c>
      <c r="E252" t="s">
        <v>25</v>
      </c>
      <c r="F252" t="s">
        <v>14</v>
      </c>
      <c r="G252">
        <v>5</v>
      </c>
      <c r="H252">
        <v>15000</v>
      </c>
      <c r="I252">
        <v>18000</v>
      </c>
      <c r="J252">
        <v>813</v>
      </c>
      <c r="K252">
        <v>89187</v>
      </c>
    </row>
    <row r="253" spans="1:11" x14ac:dyDescent="0.3">
      <c r="A253">
        <v>1252</v>
      </c>
      <c r="B253" s="1">
        <v>45363</v>
      </c>
      <c r="C253" t="s">
        <v>20</v>
      </c>
      <c r="D253" t="s">
        <v>21</v>
      </c>
      <c r="E253" t="s">
        <v>32</v>
      </c>
      <c r="F253" t="s">
        <v>27</v>
      </c>
      <c r="G253">
        <v>4</v>
      </c>
      <c r="H253">
        <v>20000</v>
      </c>
      <c r="I253">
        <v>25000</v>
      </c>
      <c r="J253">
        <v>84</v>
      </c>
      <c r="K253">
        <v>99916</v>
      </c>
    </row>
    <row r="254" spans="1:11" x14ac:dyDescent="0.3">
      <c r="A254">
        <v>1253</v>
      </c>
      <c r="B254" s="1">
        <v>45316</v>
      </c>
      <c r="C254" t="s">
        <v>15</v>
      </c>
      <c r="D254" t="s">
        <v>30</v>
      </c>
      <c r="E254" t="s">
        <v>25</v>
      </c>
      <c r="F254" t="s">
        <v>14</v>
      </c>
      <c r="G254">
        <v>1</v>
      </c>
      <c r="H254">
        <v>15000</v>
      </c>
      <c r="I254">
        <v>18000</v>
      </c>
      <c r="J254">
        <v>1123</v>
      </c>
      <c r="K254">
        <v>16877</v>
      </c>
    </row>
    <row r="255" spans="1:11" x14ac:dyDescent="0.3">
      <c r="A255">
        <v>1254</v>
      </c>
      <c r="B255" s="1">
        <v>45469</v>
      </c>
      <c r="C255" t="s">
        <v>15</v>
      </c>
      <c r="D255" t="s">
        <v>23</v>
      </c>
      <c r="E255" t="s">
        <v>26</v>
      </c>
      <c r="F255" t="s">
        <v>27</v>
      </c>
      <c r="G255">
        <v>6</v>
      </c>
      <c r="H255">
        <v>5000</v>
      </c>
      <c r="I255">
        <v>6500</v>
      </c>
      <c r="J255">
        <v>1909</v>
      </c>
      <c r="K255">
        <v>37091</v>
      </c>
    </row>
    <row r="256" spans="1:11" x14ac:dyDescent="0.3">
      <c r="A256">
        <v>1255</v>
      </c>
      <c r="B256" s="1">
        <v>45419</v>
      </c>
      <c r="C256" t="s">
        <v>15</v>
      </c>
      <c r="D256" t="s">
        <v>16</v>
      </c>
      <c r="E256" t="s">
        <v>25</v>
      </c>
      <c r="F256" t="s">
        <v>14</v>
      </c>
      <c r="G256">
        <v>2</v>
      </c>
      <c r="H256">
        <v>15000</v>
      </c>
      <c r="I256">
        <v>18000</v>
      </c>
      <c r="J256">
        <v>1964</v>
      </c>
      <c r="K256">
        <v>34036</v>
      </c>
    </row>
    <row r="257" spans="1:11" x14ac:dyDescent="0.3">
      <c r="A257">
        <v>1256</v>
      </c>
      <c r="B257" s="1">
        <v>45318</v>
      </c>
      <c r="C257" t="s">
        <v>15</v>
      </c>
      <c r="D257" t="s">
        <v>12</v>
      </c>
      <c r="E257" t="s">
        <v>22</v>
      </c>
      <c r="F257" t="s">
        <v>14</v>
      </c>
      <c r="G257">
        <v>1</v>
      </c>
      <c r="H257">
        <v>300</v>
      </c>
      <c r="I257">
        <v>600</v>
      </c>
      <c r="J257">
        <v>209</v>
      </c>
      <c r="K257">
        <v>391</v>
      </c>
    </row>
    <row r="258" spans="1:11" x14ac:dyDescent="0.3">
      <c r="A258">
        <v>1257</v>
      </c>
      <c r="B258" s="1">
        <v>45319</v>
      </c>
      <c r="C258" t="s">
        <v>11</v>
      </c>
      <c r="D258" t="s">
        <v>28</v>
      </c>
      <c r="E258" t="s">
        <v>33</v>
      </c>
      <c r="F258" t="s">
        <v>27</v>
      </c>
      <c r="G258">
        <v>1</v>
      </c>
      <c r="H258">
        <v>2000</v>
      </c>
      <c r="I258">
        <v>2500</v>
      </c>
      <c r="J258">
        <v>130</v>
      </c>
      <c r="K258">
        <v>2370</v>
      </c>
    </row>
    <row r="259" spans="1:11" x14ac:dyDescent="0.3">
      <c r="A259">
        <v>1258</v>
      </c>
      <c r="B259" s="1">
        <v>45313</v>
      </c>
      <c r="C259" t="s">
        <v>15</v>
      </c>
      <c r="D259" t="s">
        <v>12</v>
      </c>
      <c r="E259" t="s">
        <v>32</v>
      </c>
      <c r="F259" t="s">
        <v>27</v>
      </c>
      <c r="G259">
        <v>2</v>
      </c>
      <c r="H259">
        <v>20000</v>
      </c>
      <c r="I259">
        <v>25000</v>
      </c>
      <c r="J259">
        <v>471</v>
      </c>
      <c r="K259">
        <v>49529</v>
      </c>
    </row>
    <row r="260" spans="1:11" x14ac:dyDescent="0.3">
      <c r="A260">
        <v>1259</v>
      </c>
      <c r="B260" s="1">
        <v>45336</v>
      </c>
      <c r="C260" t="s">
        <v>11</v>
      </c>
      <c r="D260" t="s">
        <v>12</v>
      </c>
      <c r="E260" t="s">
        <v>19</v>
      </c>
      <c r="F260" t="s">
        <v>14</v>
      </c>
      <c r="G260">
        <v>6</v>
      </c>
      <c r="H260">
        <v>40000</v>
      </c>
      <c r="I260">
        <v>45000</v>
      </c>
      <c r="J260">
        <v>1430</v>
      </c>
      <c r="K260">
        <v>268570</v>
      </c>
    </row>
    <row r="261" spans="1:11" x14ac:dyDescent="0.3">
      <c r="A261">
        <v>1260</v>
      </c>
      <c r="B261" s="1">
        <v>45417</v>
      </c>
      <c r="C261" t="s">
        <v>20</v>
      </c>
      <c r="D261" t="s">
        <v>30</v>
      </c>
      <c r="E261" t="s">
        <v>32</v>
      </c>
      <c r="F261" t="s">
        <v>27</v>
      </c>
      <c r="G261">
        <v>5</v>
      </c>
      <c r="H261">
        <v>20000</v>
      </c>
      <c r="I261">
        <v>25000</v>
      </c>
      <c r="J261">
        <v>615</v>
      </c>
      <c r="K261">
        <v>124385</v>
      </c>
    </row>
    <row r="262" spans="1:11" x14ac:dyDescent="0.3">
      <c r="A262">
        <v>1261</v>
      </c>
      <c r="B262" s="1">
        <v>45360</v>
      </c>
      <c r="C262" t="s">
        <v>20</v>
      </c>
      <c r="D262" t="s">
        <v>21</v>
      </c>
      <c r="E262" t="s">
        <v>31</v>
      </c>
      <c r="F262" t="s">
        <v>14</v>
      </c>
      <c r="G262">
        <v>5</v>
      </c>
      <c r="H262">
        <v>1000</v>
      </c>
      <c r="I262">
        <v>1500</v>
      </c>
      <c r="J262">
        <v>1846</v>
      </c>
      <c r="K262">
        <v>5654</v>
      </c>
    </row>
    <row r="263" spans="1:11" x14ac:dyDescent="0.3">
      <c r="A263">
        <v>1262</v>
      </c>
      <c r="B263" s="1">
        <v>45445</v>
      </c>
      <c r="C263" t="s">
        <v>15</v>
      </c>
      <c r="D263" t="s">
        <v>23</v>
      </c>
      <c r="E263" t="s">
        <v>25</v>
      </c>
      <c r="F263" t="s">
        <v>14</v>
      </c>
      <c r="G263">
        <v>5</v>
      </c>
      <c r="H263">
        <v>15000</v>
      </c>
      <c r="I263">
        <v>18000</v>
      </c>
      <c r="J263">
        <v>1493</v>
      </c>
      <c r="K263">
        <v>88507</v>
      </c>
    </row>
    <row r="264" spans="1:11" x14ac:dyDescent="0.3">
      <c r="A264">
        <v>1263</v>
      </c>
      <c r="B264" s="1">
        <v>45406</v>
      </c>
      <c r="C264" t="s">
        <v>11</v>
      </c>
      <c r="D264" t="s">
        <v>21</v>
      </c>
      <c r="E264" t="s">
        <v>24</v>
      </c>
      <c r="F264" t="s">
        <v>14</v>
      </c>
      <c r="G264">
        <v>4</v>
      </c>
      <c r="H264">
        <v>7000</v>
      </c>
      <c r="I264">
        <v>9000</v>
      </c>
      <c r="J264">
        <v>86</v>
      </c>
      <c r="K264">
        <v>35914</v>
      </c>
    </row>
    <row r="265" spans="1:11" x14ac:dyDescent="0.3">
      <c r="A265">
        <v>1264</v>
      </c>
      <c r="B265" s="1">
        <v>45323</v>
      </c>
      <c r="C265" t="s">
        <v>18</v>
      </c>
      <c r="D265" t="s">
        <v>28</v>
      </c>
      <c r="E265" t="s">
        <v>32</v>
      </c>
      <c r="F265" t="s">
        <v>27</v>
      </c>
      <c r="G265">
        <v>5</v>
      </c>
      <c r="H265">
        <v>20000</v>
      </c>
      <c r="I265">
        <v>25000</v>
      </c>
      <c r="J265">
        <v>1026</v>
      </c>
      <c r="K265">
        <v>123974</v>
      </c>
    </row>
    <row r="266" spans="1:11" x14ac:dyDescent="0.3">
      <c r="A266">
        <v>1265</v>
      </c>
      <c r="B266" s="1">
        <v>45347</v>
      </c>
      <c r="C266" t="s">
        <v>20</v>
      </c>
      <c r="D266" t="s">
        <v>12</v>
      </c>
      <c r="E266" t="s">
        <v>25</v>
      </c>
      <c r="F266" t="s">
        <v>14</v>
      </c>
      <c r="G266">
        <v>4</v>
      </c>
      <c r="H266">
        <v>15000</v>
      </c>
      <c r="I266">
        <v>18000</v>
      </c>
      <c r="J266">
        <v>474</v>
      </c>
      <c r="K266">
        <v>71526</v>
      </c>
    </row>
    <row r="267" spans="1:11" x14ac:dyDescent="0.3">
      <c r="A267">
        <v>1266</v>
      </c>
      <c r="B267" s="1">
        <v>45402</v>
      </c>
      <c r="C267" t="s">
        <v>11</v>
      </c>
      <c r="D267" t="s">
        <v>16</v>
      </c>
      <c r="E267" t="s">
        <v>32</v>
      </c>
      <c r="F267" t="s">
        <v>27</v>
      </c>
      <c r="G267">
        <v>3</v>
      </c>
      <c r="H267">
        <v>20000</v>
      </c>
      <c r="I267">
        <v>25000</v>
      </c>
      <c r="J267">
        <v>825</v>
      </c>
      <c r="K267">
        <v>74175</v>
      </c>
    </row>
    <row r="268" spans="1:11" x14ac:dyDescent="0.3">
      <c r="A268">
        <v>1267</v>
      </c>
      <c r="B268" s="1">
        <v>45394</v>
      </c>
      <c r="C268" t="s">
        <v>18</v>
      </c>
      <c r="D268" t="s">
        <v>12</v>
      </c>
      <c r="E268" t="s">
        <v>29</v>
      </c>
      <c r="F268" t="s">
        <v>27</v>
      </c>
      <c r="G268">
        <v>2</v>
      </c>
      <c r="H268">
        <v>4000</v>
      </c>
      <c r="I268">
        <v>5500</v>
      </c>
      <c r="J268">
        <v>863</v>
      </c>
      <c r="K268">
        <v>10137</v>
      </c>
    </row>
    <row r="269" spans="1:11" x14ac:dyDescent="0.3">
      <c r="A269">
        <v>1268</v>
      </c>
      <c r="B269" s="1">
        <v>45365</v>
      </c>
      <c r="C269" t="s">
        <v>18</v>
      </c>
      <c r="D269" t="s">
        <v>16</v>
      </c>
      <c r="E269" t="s">
        <v>32</v>
      </c>
      <c r="F269" t="s">
        <v>27</v>
      </c>
      <c r="G269">
        <v>2</v>
      </c>
      <c r="H269">
        <v>20000</v>
      </c>
      <c r="I269">
        <v>25000</v>
      </c>
      <c r="J269">
        <v>740</v>
      </c>
      <c r="K269">
        <v>49260</v>
      </c>
    </row>
    <row r="270" spans="1:11" x14ac:dyDescent="0.3">
      <c r="A270">
        <v>1269</v>
      </c>
      <c r="B270" s="1">
        <v>45362</v>
      </c>
      <c r="C270" t="s">
        <v>15</v>
      </c>
      <c r="D270" t="s">
        <v>16</v>
      </c>
      <c r="E270" t="s">
        <v>31</v>
      </c>
      <c r="F270" t="s">
        <v>14</v>
      </c>
      <c r="G270">
        <v>4</v>
      </c>
      <c r="H270">
        <v>1000</v>
      </c>
      <c r="I270">
        <v>1500</v>
      </c>
      <c r="J270">
        <v>273</v>
      </c>
      <c r="K270">
        <v>5727</v>
      </c>
    </row>
    <row r="271" spans="1:11" x14ac:dyDescent="0.3">
      <c r="A271">
        <v>1270</v>
      </c>
      <c r="B271" s="1">
        <v>45381</v>
      </c>
      <c r="C271" t="s">
        <v>20</v>
      </c>
      <c r="D271" t="s">
        <v>12</v>
      </c>
      <c r="E271" t="s">
        <v>24</v>
      </c>
      <c r="F271" t="s">
        <v>14</v>
      </c>
      <c r="G271">
        <v>5</v>
      </c>
      <c r="H271">
        <v>7000</v>
      </c>
      <c r="I271">
        <v>9000</v>
      </c>
      <c r="J271">
        <v>137</v>
      </c>
      <c r="K271">
        <v>44863</v>
      </c>
    </row>
    <row r="272" spans="1:11" x14ac:dyDescent="0.3">
      <c r="A272">
        <v>1271</v>
      </c>
      <c r="B272" s="1">
        <v>45381</v>
      </c>
      <c r="C272" t="s">
        <v>15</v>
      </c>
      <c r="D272" t="s">
        <v>28</v>
      </c>
      <c r="E272" t="s">
        <v>17</v>
      </c>
      <c r="F272" t="s">
        <v>14</v>
      </c>
      <c r="G272">
        <v>4</v>
      </c>
      <c r="H272">
        <v>8000</v>
      </c>
      <c r="I272">
        <v>9500</v>
      </c>
      <c r="J272">
        <v>1568</v>
      </c>
      <c r="K272">
        <v>36432</v>
      </c>
    </row>
    <row r="273" spans="1:11" x14ac:dyDescent="0.3">
      <c r="A273">
        <v>1272</v>
      </c>
      <c r="B273" s="1">
        <v>45318</v>
      </c>
      <c r="C273" t="s">
        <v>15</v>
      </c>
      <c r="D273" t="s">
        <v>23</v>
      </c>
      <c r="E273" t="s">
        <v>32</v>
      </c>
      <c r="F273" t="s">
        <v>27</v>
      </c>
      <c r="G273">
        <v>3</v>
      </c>
      <c r="H273">
        <v>20000</v>
      </c>
      <c r="I273">
        <v>25000</v>
      </c>
      <c r="J273">
        <v>518</v>
      </c>
      <c r="K273">
        <v>74482</v>
      </c>
    </row>
    <row r="274" spans="1:11" x14ac:dyDescent="0.3">
      <c r="A274">
        <v>1273</v>
      </c>
      <c r="B274" s="1">
        <v>45402</v>
      </c>
      <c r="C274" t="s">
        <v>15</v>
      </c>
      <c r="D274" t="s">
        <v>21</v>
      </c>
      <c r="E274" t="s">
        <v>17</v>
      </c>
      <c r="F274" t="s">
        <v>14</v>
      </c>
      <c r="G274">
        <v>5</v>
      </c>
      <c r="H274">
        <v>8000</v>
      </c>
      <c r="I274">
        <v>9500</v>
      </c>
      <c r="J274">
        <v>257</v>
      </c>
      <c r="K274">
        <v>47243</v>
      </c>
    </row>
    <row r="275" spans="1:11" x14ac:dyDescent="0.3">
      <c r="A275">
        <v>1274</v>
      </c>
      <c r="B275" s="1">
        <v>45456</v>
      </c>
      <c r="C275" t="s">
        <v>18</v>
      </c>
      <c r="D275" t="s">
        <v>16</v>
      </c>
      <c r="E275" t="s">
        <v>22</v>
      </c>
      <c r="F275" t="s">
        <v>14</v>
      </c>
      <c r="G275">
        <v>3</v>
      </c>
      <c r="H275">
        <v>300</v>
      </c>
      <c r="I275">
        <v>600</v>
      </c>
      <c r="J275">
        <v>553</v>
      </c>
      <c r="K275">
        <v>1247</v>
      </c>
    </row>
    <row r="276" spans="1:11" x14ac:dyDescent="0.3">
      <c r="A276">
        <v>1275</v>
      </c>
      <c r="B276" s="1">
        <v>45435</v>
      </c>
      <c r="C276" t="s">
        <v>18</v>
      </c>
      <c r="D276" t="s">
        <v>12</v>
      </c>
      <c r="E276" t="s">
        <v>29</v>
      </c>
      <c r="F276" t="s">
        <v>27</v>
      </c>
      <c r="G276">
        <v>3</v>
      </c>
      <c r="H276">
        <v>4000</v>
      </c>
      <c r="I276">
        <v>5500</v>
      </c>
      <c r="J276">
        <v>883</v>
      </c>
      <c r="K276">
        <v>15617</v>
      </c>
    </row>
    <row r="277" spans="1:11" x14ac:dyDescent="0.3">
      <c r="A277">
        <v>1276</v>
      </c>
      <c r="B277" s="1">
        <v>45313</v>
      </c>
      <c r="C277" t="s">
        <v>18</v>
      </c>
      <c r="D277" t="s">
        <v>16</v>
      </c>
      <c r="E277" t="s">
        <v>24</v>
      </c>
      <c r="F277" t="s">
        <v>14</v>
      </c>
      <c r="G277">
        <v>6</v>
      </c>
      <c r="H277">
        <v>7000</v>
      </c>
      <c r="I277">
        <v>9000</v>
      </c>
      <c r="J277">
        <v>401</v>
      </c>
      <c r="K277">
        <v>53599</v>
      </c>
    </row>
    <row r="278" spans="1:11" x14ac:dyDescent="0.3">
      <c r="A278">
        <v>1277</v>
      </c>
      <c r="B278" s="1">
        <v>45316</v>
      </c>
      <c r="C278" t="s">
        <v>20</v>
      </c>
      <c r="D278" t="s">
        <v>28</v>
      </c>
      <c r="E278" t="s">
        <v>29</v>
      </c>
      <c r="F278" t="s">
        <v>27</v>
      </c>
      <c r="G278">
        <v>4</v>
      </c>
      <c r="H278">
        <v>4000</v>
      </c>
      <c r="I278">
        <v>5500</v>
      </c>
      <c r="J278">
        <v>1109</v>
      </c>
      <c r="K278">
        <v>20891</v>
      </c>
    </row>
    <row r="279" spans="1:11" x14ac:dyDescent="0.3">
      <c r="A279">
        <v>1278</v>
      </c>
      <c r="B279" s="1">
        <v>45446</v>
      </c>
      <c r="C279" t="s">
        <v>15</v>
      </c>
      <c r="D279" t="s">
        <v>23</v>
      </c>
      <c r="E279" t="s">
        <v>31</v>
      </c>
      <c r="F279" t="s">
        <v>14</v>
      </c>
      <c r="G279">
        <v>5</v>
      </c>
      <c r="H279">
        <v>1000</v>
      </c>
      <c r="I279">
        <v>1500</v>
      </c>
      <c r="J279">
        <v>1536</v>
      </c>
      <c r="K279">
        <v>5964</v>
      </c>
    </row>
    <row r="280" spans="1:11" x14ac:dyDescent="0.3">
      <c r="A280">
        <v>1279</v>
      </c>
      <c r="B280" s="1">
        <v>45383</v>
      </c>
      <c r="C280" t="s">
        <v>20</v>
      </c>
      <c r="D280" t="s">
        <v>23</v>
      </c>
      <c r="E280" t="s">
        <v>17</v>
      </c>
      <c r="F280" t="s">
        <v>14</v>
      </c>
      <c r="G280">
        <v>3</v>
      </c>
      <c r="H280">
        <v>8000</v>
      </c>
      <c r="I280">
        <v>9500</v>
      </c>
      <c r="J280">
        <v>43</v>
      </c>
      <c r="K280">
        <v>28457</v>
      </c>
    </row>
    <row r="281" spans="1:11" x14ac:dyDescent="0.3">
      <c r="A281">
        <v>1280</v>
      </c>
      <c r="B281" s="1">
        <v>45385</v>
      </c>
      <c r="C281" t="s">
        <v>20</v>
      </c>
      <c r="D281" t="s">
        <v>28</v>
      </c>
      <c r="E281" t="s">
        <v>19</v>
      </c>
      <c r="F281" t="s">
        <v>14</v>
      </c>
      <c r="G281">
        <v>3</v>
      </c>
      <c r="H281">
        <v>40000</v>
      </c>
      <c r="I281">
        <v>45000</v>
      </c>
      <c r="J281">
        <v>413</v>
      </c>
      <c r="K281">
        <v>134587</v>
      </c>
    </row>
    <row r="282" spans="1:11" x14ac:dyDescent="0.3">
      <c r="A282">
        <v>1281</v>
      </c>
      <c r="B282" s="1">
        <v>45452</v>
      </c>
      <c r="C282" t="s">
        <v>20</v>
      </c>
      <c r="D282" t="s">
        <v>23</v>
      </c>
      <c r="E282" t="s">
        <v>31</v>
      </c>
      <c r="F282" t="s">
        <v>14</v>
      </c>
      <c r="G282">
        <v>1</v>
      </c>
      <c r="H282">
        <v>1000</v>
      </c>
      <c r="I282">
        <v>1500</v>
      </c>
      <c r="J282">
        <v>1284</v>
      </c>
      <c r="K282">
        <v>216</v>
      </c>
    </row>
    <row r="283" spans="1:11" x14ac:dyDescent="0.3">
      <c r="A283">
        <v>1282</v>
      </c>
      <c r="B283" s="1">
        <v>45409</v>
      </c>
      <c r="C283" t="s">
        <v>20</v>
      </c>
      <c r="D283" t="s">
        <v>16</v>
      </c>
      <c r="E283" t="s">
        <v>25</v>
      </c>
      <c r="F283" t="s">
        <v>14</v>
      </c>
      <c r="G283">
        <v>2</v>
      </c>
      <c r="H283">
        <v>15000</v>
      </c>
      <c r="I283">
        <v>18000</v>
      </c>
      <c r="J283">
        <v>1994</v>
      </c>
      <c r="K283">
        <v>34006</v>
      </c>
    </row>
    <row r="284" spans="1:11" x14ac:dyDescent="0.3">
      <c r="A284">
        <v>1283</v>
      </c>
      <c r="B284" s="1">
        <v>45312</v>
      </c>
      <c r="C284" t="s">
        <v>11</v>
      </c>
      <c r="D284" t="s">
        <v>30</v>
      </c>
      <c r="E284" t="s">
        <v>29</v>
      </c>
      <c r="F284" t="s">
        <v>27</v>
      </c>
      <c r="G284">
        <v>5</v>
      </c>
      <c r="H284">
        <v>4000</v>
      </c>
      <c r="I284">
        <v>5500</v>
      </c>
      <c r="J284">
        <v>823</v>
      </c>
      <c r="K284">
        <v>26677</v>
      </c>
    </row>
    <row r="285" spans="1:11" x14ac:dyDescent="0.3">
      <c r="A285">
        <v>1284</v>
      </c>
      <c r="B285" s="1">
        <v>45321</v>
      </c>
      <c r="C285" t="s">
        <v>11</v>
      </c>
      <c r="D285" t="s">
        <v>23</v>
      </c>
      <c r="E285" t="s">
        <v>17</v>
      </c>
      <c r="F285" t="s">
        <v>14</v>
      </c>
      <c r="G285">
        <v>4</v>
      </c>
      <c r="H285">
        <v>8000</v>
      </c>
      <c r="I285">
        <v>9500</v>
      </c>
      <c r="J285">
        <v>667</v>
      </c>
      <c r="K285">
        <v>37333</v>
      </c>
    </row>
    <row r="286" spans="1:11" x14ac:dyDescent="0.3">
      <c r="A286">
        <v>1285</v>
      </c>
      <c r="B286" s="1">
        <v>45395</v>
      </c>
      <c r="C286" t="s">
        <v>20</v>
      </c>
      <c r="D286" t="s">
        <v>12</v>
      </c>
      <c r="E286" t="s">
        <v>29</v>
      </c>
      <c r="F286" t="s">
        <v>27</v>
      </c>
      <c r="G286">
        <v>3</v>
      </c>
      <c r="H286">
        <v>4000</v>
      </c>
      <c r="I286">
        <v>5500</v>
      </c>
      <c r="J286">
        <v>1494</v>
      </c>
      <c r="K286">
        <v>15006</v>
      </c>
    </row>
    <row r="287" spans="1:11" x14ac:dyDescent="0.3">
      <c r="A287">
        <v>1286</v>
      </c>
      <c r="B287" s="1">
        <v>45456</v>
      </c>
      <c r="C287" t="s">
        <v>20</v>
      </c>
      <c r="D287" t="s">
        <v>28</v>
      </c>
      <c r="E287" t="s">
        <v>31</v>
      </c>
      <c r="F287" t="s">
        <v>14</v>
      </c>
      <c r="G287">
        <v>1</v>
      </c>
      <c r="H287">
        <v>1000</v>
      </c>
      <c r="I287">
        <v>1500</v>
      </c>
      <c r="J287">
        <v>202</v>
      </c>
      <c r="K287">
        <v>1298</v>
      </c>
    </row>
    <row r="288" spans="1:11" x14ac:dyDescent="0.3">
      <c r="A288">
        <v>1287</v>
      </c>
      <c r="B288" s="1">
        <v>45299</v>
      </c>
      <c r="C288" t="s">
        <v>15</v>
      </c>
      <c r="D288" t="s">
        <v>21</v>
      </c>
      <c r="E288" t="s">
        <v>22</v>
      </c>
      <c r="F288" t="s">
        <v>14</v>
      </c>
      <c r="G288">
        <v>3</v>
      </c>
      <c r="H288">
        <v>300</v>
      </c>
      <c r="I288">
        <v>600</v>
      </c>
      <c r="J288">
        <v>1170</v>
      </c>
      <c r="K288">
        <v>630</v>
      </c>
    </row>
    <row r="289" spans="1:11" x14ac:dyDescent="0.3">
      <c r="A289">
        <v>1288</v>
      </c>
      <c r="B289" s="1">
        <v>45454</v>
      </c>
      <c r="C289" t="s">
        <v>18</v>
      </c>
      <c r="D289" t="s">
        <v>28</v>
      </c>
      <c r="E289" t="s">
        <v>22</v>
      </c>
      <c r="F289" t="s">
        <v>14</v>
      </c>
      <c r="G289">
        <v>4</v>
      </c>
      <c r="H289">
        <v>300</v>
      </c>
      <c r="I289">
        <v>600</v>
      </c>
      <c r="J289">
        <v>1182</v>
      </c>
      <c r="K289">
        <v>1218</v>
      </c>
    </row>
    <row r="290" spans="1:11" x14ac:dyDescent="0.3">
      <c r="A290">
        <v>1289</v>
      </c>
      <c r="B290" s="1">
        <v>45420</v>
      </c>
      <c r="C290" t="s">
        <v>11</v>
      </c>
      <c r="D290" t="s">
        <v>21</v>
      </c>
      <c r="E290" t="s">
        <v>13</v>
      </c>
      <c r="F290" t="s">
        <v>14</v>
      </c>
      <c r="G290">
        <v>4</v>
      </c>
      <c r="H290">
        <v>500</v>
      </c>
      <c r="I290">
        <v>800</v>
      </c>
      <c r="J290">
        <v>1637</v>
      </c>
      <c r="K290">
        <v>1563</v>
      </c>
    </row>
    <row r="291" spans="1:11" x14ac:dyDescent="0.3">
      <c r="A291">
        <v>1290</v>
      </c>
      <c r="B291" s="1">
        <v>45407</v>
      </c>
      <c r="C291" t="s">
        <v>18</v>
      </c>
      <c r="D291" t="s">
        <v>21</v>
      </c>
      <c r="E291" t="s">
        <v>29</v>
      </c>
      <c r="F291" t="s">
        <v>27</v>
      </c>
      <c r="G291">
        <v>5</v>
      </c>
      <c r="H291">
        <v>4000</v>
      </c>
      <c r="I291">
        <v>5500</v>
      </c>
      <c r="J291">
        <v>1430</v>
      </c>
      <c r="K291">
        <v>26070</v>
      </c>
    </row>
    <row r="292" spans="1:11" x14ac:dyDescent="0.3">
      <c r="A292">
        <v>1291</v>
      </c>
      <c r="B292" s="1">
        <v>45417</v>
      </c>
      <c r="C292" t="s">
        <v>11</v>
      </c>
      <c r="D292" t="s">
        <v>28</v>
      </c>
      <c r="E292" t="s">
        <v>31</v>
      </c>
      <c r="F292" t="s">
        <v>14</v>
      </c>
      <c r="G292">
        <v>2</v>
      </c>
      <c r="H292">
        <v>1000</v>
      </c>
      <c r="I292">
        <v>1500</v>
      </c>
      <c r="J292">
        <v>1101</v>
      </c>
      <c r="K292">
        <v>1899</v>
      </c>
    </row>
    <row r="293" spans="1:11" x14ac:dyDescent="0.3">
      <c r="A293">
        <v>1292</v>
      </c>
      <c r="B293" s="1">
        <v>45403</v>
      </c>
      <c r="C293" t="s">
        <v>15</v>
      </c>
      <c r="D293" t="s">
        <v>30</v>
      </c>
      <c r="E293" t="s">
        <v>13</v>
      </c>
      <c r="F293" t="s">
        <v>14</v>
      </c>
      <c r="G293">
        <v>5</v>
      </c>
      <c r="H293">
        <v>500</v>
      </c>
      <c r="I293">
        <v>800</v>
      </c>
      <c r="J293">
        <v>1845</v>
      </c>
      <c r="K293">
        <v>2155</v>
      </c>
    </row>
    <row r="294" spans="1:11" x14ac:dyDescent="0.3">
      <c r="A294">
        <v>1293</v>
      </c>
      <c r="B294" s="1">
        <v>45326</v>
      </c>
      <c r="C294" t="s">
        <v>15</v>
      </c>
      <c r="D294" t="s">
        <v>28</v>
      </c>
      <c r="E294" t="s">
        <v>26</v>
      </c>
      <c r="F294" t="s">
        <v>27</v>
      </c>
      <c r="G294">
        <v>1</v>
      </c>
      <c r="H294">
        <v>5000</v>
      </c>
      <c r="I294">
        <v>6500</v>
      </c>
      <c r="J294">
        <v>556</v>
      </c>
      <c r="K294">
        <v>5944</v>
      </c>
    </row>
    <row r="295" spans="1:11" x14ac:dyDescent="0.3">
      <c r="A295">
        <v>1294</v>
      </c>
      <c r="B295" s="1">
        <v>45404</v>
      </c>
      <c r="C295" t="s">
        <v>11</v>
      </c>
      <c r="D295" t="s">
        <v>23</v>
      </c>
      <c r="E295" t="s">
        <v>33</v>
      </c>
      <c r="F295" t="s">
        <v>27</v>
      </c>
      <c r="G295">
        <v>3</v>
      </c>
      <c r="H295">
        <v>2000</v>
      </c>
      <c r="I295">
        <v>2500</v>
      </c>
      <c r="J295">
        <v>1690</v>
      </c>
      <c r="K295">
        <v>5810</v>
      </c>
    </row>
    <row r="296" spans="1:11" x14ac:dyDescent="0.3">
      <c r="A296">
        <v>1295</v>
      </c>
      <c r="B296" s="1">
        <v>45330</v>
      </c>
      <c r="C296" t="s">
        <v>11</v>
      </c>
      <c r="D296" t="s">
        <v>21</v>
      </c>
      <c r="E296" t="s">
        <v>33</v>
      </c>
      <c r="F296" t="s">
        <v>27</v>
      </c>
      <c r="G296">
        <v>4</v>
      </c>
      <c r="H296">
        <v>2000</v>
      </c>
      <c r="I296">
        <v>2500</v>
      </c>
      <c r="J296">
        <v>1361</v>
      </c>
      <c r="K296">
        <v>8639</v>
      </c>
    </row>
    <row r="297" spans="1:11" x14ac:dyDescent="0.3">
      <c r="A297">
        <v>1296</v>
      </c>
      <c r="B297" s="1">
        <v>45322</v>
      </c>
      <c r="C297" t="s">
        <v>15</v>
      </c>
      <c r="D297" t="s">
        <v>21</v>
      </c>
      <c r="E297" t="s">
        <v>33</v>
      </c>
      <c r="F297" t="s">
        <v>27</v>
      </c>
      <c r="G297">
        <v>2</v>
      </c>
      <c r="H297">
        <v>2000</v>
      </c>
      <c r="I297">
        <v>2500</v>
      </c>
      <c r="J297">
        <v>303</v>
      </c>
      <c r="K297">
        <v>4697</v>
      </c>
    </row>
    <row r="298" spans="1:11" x14ac:dyDescent="0.3">
      <c r="A298">
        <v>1297</v>
      </c>
      <c r="B298" s="1">
        <v>45403</v>
      </c>
      <c r="C298" t="s">
        <v>11</v>
      </c>
      <c r="D298" t="s">
        <v>21</v>
      </c>
      <c r="E298" t="s">
        <v>32</v>
      </c>
      <c r="F298" t="s">
        <v>27</v>
      </c>
      <c r="G298">
        <v>2</v>
      </c>
      <c r="H298">
        <v>20000</v>
      </c>
      <c r="I298">
        <v>25000</v>
      </c>
      <c r="J298">
        <v>1114</v>
      </c>
      <c r="K298">
        <v>48886</v>
      </c>
    </row>
    <row r="299" spans="1:11" x14ac:dyDescent="0.3">
      <c r="A299">
        <v>1298</v>
      </c>
      <c r="B299" s="1">
        <v>45406</v>
      </c>
      <c r="C299" t="s">
        <v>15</v>
      </c>
      <c r="D299" t="s">
        <v>23</v>
      </c>
      <c r="E299" t="s">
        <v>13</v>
      </c>
      <c r="F299" t="s">
        <v>14</v>
      </c>
      <c r="G299">
        <v>5</v>
      </c>
      <c r="H299">
        <v>500</v>
      </c>
      <c r="I299">
        <v>800</v>
      </c>
      <c r="J299">
        <v>121</v>
      </c>
      <c r="K299">
        <v>3879</v>
      </c>
    </row>
    <row r="300" spans="1:11" x14ac:dyDescent="0.3">
      <c r="A300">
        <v>1299</v>
      </c>
      <c r="B300" s="1">
        <v>45418</v>
      </c>
      <c r="C300" t="s">
        <v>20</v>
      </c>
      <c r="D300" t="s">
        <v>23</v>
      </c>
      <c r="E300" t="s">
        <v>32</v>
      </c>
      <c r="F300" t="s">
        <v>27</v>
      </c>
      <c r="G300">
        <v>2</v>
      </c>
      <c r="H300">
        <v>20000</v>
      </c>
      <c r="I300">
        <v>25000</v>
      </c>
      <c r="J300">
        <v>670</v>
      </c>
      <c r="K300">
        <v>49330</v>
      </c>
    </row>
    <row r="301" spans="1:11" x14ac:dyDescent="0.3">
      <c r="A301">
        <v>1300</v>
      </c>
      <c r="B301" s="1">
        <v>45416</v>
      </c>
      <c r="C301" t="s">
        <v>11</v>
      </c>
      <c r="D301" t="s">
        <v>16</v>
      </c>
      <c r="E301" t="s">
        <v>25</v>
      </c>
      <c r="F301" t="s">
        <v>14</v>
      </c>
      <c r="G301">
        <v>1</v>
      </c>
      <c r="H301">
        <v>15000</v>
      </c>
      <c r="I301">
        <v>18000</v>
      </c>
      <c r="J301">
        <v>1171</v>
      </c>
      <c r="K301">
        <v>16829</v>
      </c>
    </row>
    <row r="302" spans="1:11" x14ac:dyDescent="0.3">
      <c r="A302">
        <v>1301</v>
      </c>
      <c r="B302" s="1">
        <v>45464</v>
      </c>
      <c r="C302" t="s">
        <v>11</v>
      </c>
      <c r="D302" t="s">
        <v>28</v>
      </c>
      <c r="E302" t="s">
        <v>19</v>
      </c>
      <c r="F302" t="s">
        <v>14</v>
      </c>
      <c r="G302">
        <v>6</v>
      </c>
      <c r="H302">
        <v>40000</v>
      </c>
      <c r="I302">
        <v>45000</v>
      </c>
      <c r="J302">
        <v>773</v>
      </c>
      <c r="K302">
        <v>269227</v>
      </c>
    </row>
    <row r="303" spans="1:11" x14ac:dyDescent="0.3">
      <c r="A303">
        <v>1302</v>
      </c>
      <c r="B303" s="1">
        <v>45432</v>
      </c>
      <c r="C303" t="s">
        <v>11</v>
      </c>
      <c r="D303" t="s">
        <v>12</v>
      </c>
      <c r="E303" t="s">
        <v>26</v>
      </c>
      <c r="F303" t="s">
        <v>27</v>
      </c>
      <c r="G303">
        <v>2</v>
      </c>
      <c r="H303">
        <v>5000</v>
      </c>
      <c r="I303">
        <v>6500</v>
      </c>
      <c r="J303">
        <v>1102</v>
      </c>
      <c r="K303">
        <v>11898</v>
      </c>
    </row>
    <row r="304" spans="1:11" x14ac:dyDescent="0.3">
      <c r="A304">
        <v>1303</v>
      </c>
      <c r="B304" s="1">
        <v>45382</v>
      </c>
      <c r="C304" t="s">
        <v>20</v>
      </c>
      <c r="D304" t="s">
        <v>23</v>
      </c>
      <c r="E304" t="s">
        <v>33</v>
      </c>
      <c r="F304" t="s">
        <v>27</v>
      </c>
      <c r="G304">
        <v>1</v>
      </c>
      <c r="H304">
        <v>2000</v>
      </c>
      <c r="I304">
        <v>2500</v>
      </c>
      <c r="J304">
        <v>1298</v>
      </c>
      <c r="K304">
        <v>1202</v>
      </c>
    </row>
    <row r="305" spans="1:11" x14ac:dyDescent="0.3">
      <c r="A305">
        <v>1304</v>
      </c>
      <c r="B305" s="1">
        <v>45327</v>
      </c>
      <c r="C305" t="s">
        <v>18</v>
      </c>
      <c r="D305" t="s">
        <v>30</v>
      </c>
      <c r="E305" t="s">
        <v>29</v>
      </c>
      <c r="F305" t="s">
        <v>27</v>
      </c>
      <c r="G305">
        <v>3</v>
      </c>
      <c r="H305">
        <v>4000</v>
      </c>
      <c r="I305">
        <v>5500</v>
      </c>
      <c r="J305">
        <v>541</v>
      </c>
      <c r="K305">
        <v>15959</v>
      </c>
    </row>
    <row r="306" spans="1:11" x14ac:dyDescent="0.3">
      <c r="A306">
        <v>1305</v>
      </c>
      <c r="B306" s="1">
        <v>45311</v>
      </c>
      <c r="C306" t="s">
        <v>11</v>
      </c>
      <c r="D306" t="s">
        <v>16</v>
      </c>
      <c r="E306" t="s">
        <v>25</v>
      </c>
      <c r="F306" t="s">
        <v>14</v>
      </c>
      <c r="G306">
        <v>5</v>
      </c>
      <c r="H306">
        <v>15000</v>
      </c>
      <c r="I306">
        <v>18000</v>
      </c>
      <c r="J306">
        <v>367</v>
      </c>
      <c r="K306">
        <v>89633</v>
      </c>
    </row>
    <row r="307" spans="1:11" x14ac:dyDescent="0.3">
      <c r="A307">
        <v>1306</v>
      </c>
      <c r="B307" s="1">
        <v>45427</v>
      </c>
      <c r="C307" t="s">
        <v>20</v>
      </c>
      <c r="D307" t="s">
        <v>21</v>
      </c>
      <c r="E307" t="s">
        <v>22</v>
      </c>
      <c r="F307" t="s">
        <v>14</v>
      </c>
      <c r="G307">
        <v>6</v>
      </c>
      <c r="H307">
        <v>300</v>
      </c>
      <c r="I307">
        <v>600</v>
      </c>
      <c r="J307">
        <v>1869</v>
      </c>
      <c r="K307">
        <v>1731</v>
      </c>
    </row>
    <row r="308" spans="1:11" x14ac:dyDescent="0.3">
      <c r="A308">
        <v>1307</v>
      </c>
      <c r="B308" s="1">
        <v>45414</v>
      </c>
      <c r="C308" t="s">
        <v>11</v>
      </c>
      <c r="D308" t="s">
        <v>23</v>
      </c>
      <c r="E308" t="s">
        <v>32</v>
      </c>
      <c r="F308" t="s">
        <v>27</v>
      </c>
      <c r="G308">
        <v>6</v>
      </c>
      <c r="H308">
        <v>20000</v>
      </c>
      <c r="I308">
        <v>25000</v>
      </c>
      <c r="J308">
        <v>1618</v>
      </c>
      <c r="K308">
        <v>148382</v>
      </c>
    </row>
    <row r="309" spans="1:11" x14ac:dyDescent="0.3">
      <c r="A309">
        <v>1308</v>
      </c>
      <c r="B309" s="1">
        <v>45419</v>
      </c>
      <c r="C309" t="s">
        <v>11</v>
      </c>
      <c r="D309" t="s">
        <v>28</v>
      </c>
      <c r="E309" t="s">
        <v>19</v>
      </c>
      <c r="F309" t="s">
        <v>14</v>
      </c>
      <c r="G309">
        <v>3</v>
      </c>
      <c r="H309">
        <v>40000</v>
      </c>
      <c r="I309">
        <v>45000</v>
      </c>
      <c r="J309">
        <v>1486</v>
      </c>
      <c r="K309">
        <v>133514</v>
      </c>
    </row>
    <row r="310" spans="1:11" x14ac:dyDescent="0.3">
      <c r="A310">
        <v>1309</v>
      </c>
      <c r="B310" s="1">
        <v>45391</v>
      </c>
      <c r="C310" t="s">
        <v>15</v>
      </c>
      <c r="D310" t="s">
        <v>23</v>
      </c>
      <c r="E310" t="s">
        <v>22</v>
      </c>
      <c r="F310" t="s">
        <v>14</v>
      </c>
      <c r="G310">
        <v>4</v>
      </c>
      <c r="H310">
        <v>300</v>
      </c>
      <c r="I310">
        <v>600</v>
      </c>
      <c r="J310">
        <v>869</v>
      </c>
      <c r="K310">
        <v>1531</v>
      </c>
    </row>
    <row r="311" spans="1:11" x14ac:dyDescent="0.3">
      <c r="A311">
        <v>1310</v>
      </c>
      <c r="B311" s="1">
        <v>45377</v>
      </c>
      <c r="C311" t="s">
        <v>15</v>
      </c>
      <c r="D311" t="s">
        <v>30</v>
      </c>
      <c r="E311" t="s">
        <v>22</v>
      </c>
      <c r="F311" t="s">
        <v>14</v>
      </c>
      <c r="G311">
        <v>5</v>
      </c>
      <c r="H311">
        <v>300</v>
      </c>
      <c r="I311">
        <v>600</v>
      </c>
      <c r="J311">
        <v>1211</v>
      </c>
      <c r="K311">
        <v>1789</v>
      </c>
    </row>
    <row r="312" spans="1:11" x14ac:dyDescent="0.3">
      <c r="A312">
        <v>1311</v>
      </c>
      <c r="B312" s="1">
        <v>45333</v>
      </c>
      <c r="C312" t="s">
        <v>15</v>
      </c>
      <c r="D312" t="s">
        <v>12</v>
      </c>
      <c r="E312" t="s">
        <v>22</v>
      </c>
      <c r="F312" t="s">
        <v>14</v>
      </c>
      <c r="G312">
        <v>5</v>
      </c>
      <c r="H312">
        <v>300</v>
      </c>
      <c r="I312">
        <v>600</v>
      </c>
      <c r="J312">
        <v>302</v>
      </c>
      <c r="K312">
        <v>2698</v>
      </c>
    </row>
    <row r="313" spans="1:11" x14ac:dyDescent="0.3">
      <c r="A313">
        <v>1312</v>
      </c>
      <c r="B313" s="1">
        <v>45412</v>
      </c>
      <c r="C313" t="s">
        <v>11</v>
      </c>
      <c r="D313" t="s">
        <v>16</v>
      </c>
      <c r="E313" t="s">
        <v>33</v>
      </c>
      <c r="F313" t="s">
        <v>27</v>
      </c>
      <c r="G313">
        <v>6</v>
      </c>
      <c r="H313">
        <v>2000</v>
      </c>
      <c r="I313">
        <v>2500</v>
      </c>
      <c r="J313">
        <v>217</v>
      </c>
      <c r="K313">
        <v>14783</v>
      </c>
    </row>
    <row r="314" spans="1:11" x14ac:dyDescent="0.3">
      <c r="A314">
        <v>1313</v>
      </c>
      <c r="B314" s="1">
        <v>45363</v>
      </c>
      <c r="C314" t="s">
        <v>15</v>
      </c>
      <c r="D314" t="s">
        <v>23</v>
      </c>
      <c r="E314" t="s">
        <v>17</v>
      </c>
      <c r="F314" t="s">
        <v>14</v>
      </c>
      <c r="G314">
        <v>4</v>
      </c>
      <c r="H314">
        <v>8000</v>
      </c>
      <c r="I314">
        <v>9500</v>
      </c>
      <c r="J314">
        <v>761</v>
      </c>
      <c r="K314">
        <v>37239</v>
      </c>
    </row>
    <row r="315" spans="1:11" x14ac:dyDescent="0.3">
      <c r="A315">
        <v>1314</v>
      </c>
      <c r="B315" s="1">
        <v>45400</v>
      </c>
      <c r="C315" t="s">
        <v>15</v>
      </c>
      <c r="D315" t="s">
        <v>28</v>
      </c>
      <c r="E315" t="s">
        <v>13</v>
      </c>
      <c r="F315" t="s">
        <v>14</v>
      </c>
      <c r="G315">
        <v>5</v>
      </c>
      <c r="H315">
        <v>500</v>
      </c>
      <c r="I315">
        <v>800</v>
      </c>
      <c r="J315">
        <v>1427</v>
      </c>
      <c r="K315">
        <v>2573</v>
      </c>
    </row>
    <row r="316" spans="1:11" x14ac:dyDescent="0.3">
      <c r="A316">
        <v>1315</v>
      </c>
      <c r="B316" s="1">
        <v>45292</v>
      </c>
      <c r="C316" t="s">
        <v>20</v>
      </c>
      <c r="D316" t="s">
        <v>12</v>
      </c>
      <c r="E316" t="s">
        <v>32</v>
      </c>
      <c r="F316" t="s">
        <v>27</v>
      </c>
      <c r="G316">
        <v>5</v>
      </c>
      <c r="H316">
        <v>20000</v>
      </c>
      <c r="I316">
        <v>25000</v>
      </c>
      <c r="J316">
        <v>677</v>
      </c>
      <c r="K316">
        <v>124323</v>
      </c>
    </row>
    <row r="317" spans="1:11" x14ac:dyDescent="0.3">
      <c r="A317">
        <v>1316</v>
      </c>
      <c r="B317" s="1">
        <v>45445</v>
      </c>
      <c r="C317" t="s">
        <v>18</v>
      </c>
      <c r="D317" t="s">
        <v>16</v>
      </c>
      <c r="E317" t="s">
        <v>19</v>
      </c>
      <c r="F317" t="s">
        <v>14</v>
      </c>
      <c r="G317">
        <v>6</v>
      </c>
      <c r="H317">
        <v>40000</v>
      </c>
      <c r="I317">
        <v>45000</v>
      </c>
      <c r="J317">
        <v>110</v>
      </c>
      <c r="K317">
        <v>269890</v>
      </c>
    </row>
    <row r="318" spans="1:11" x14ac:dyDescent="0.3">
      <c r="A318">
        <v>1317</v>
      </c>
      <c r="B318" s="1">
        <v>45418</v>
      </c>
      <c r="C318" t="s">
        <v>18</v>
      </c>
      <c r="D318" t="s">
        <v>30</v>
      </c>
      <c r="E318" t="s">
        <v>25</v>
      </c>
      <c r="F318" t="s">
        <v>14</v>
      </c>
      <c r="G318">
        <v>2</v>
      </c>
      <c r="H318">
        <v>15000</v>
      </c>
      <c r="I318">
        <v>18000</v>
      </c>
      <c r="J318">
        <v>1545</v>
      </c>
      <c r="K318">
        <v>34455</v>
      </c>
    </row>
    <row r="319" spans="1:11" x14ac:dyDescent="0.3">
      <c r="A319">
        <v>1318</v>
      </c>
      <c r="B319" s="1">
        <v>45431</v>
      </c>
      <c r="C319" t="s">
        <v>15</v>
      </c>
      <c r="D319" t="s">
        <v>16</v>
      </c>
      <c r="E319" t="s">
        <v>25</v>
      </c>
      <c r="F319" t="s">
        <v>14</v>
      </c>
      <c r="G319">
        <v>6</v>
      </c>
      <c r="H319">
        <v>15000</v>
      </c>
      <c r="I319">
        <v>18000</v>
      </c>
      <c r="J319">
        <v>1969</v>
      </c>
      <c r="K319">
        <v>106031</v>
      </c>
    </row>
    <row r="320" spans="1:11" x14ac:dyDescent="0.3">
      <c r="A320">
        <v>1319</v>
      </c>
      <c r="B320" s="1">
        <v>45461</v>
      </c>
      <c r="C320" t="s">
        <v>11</v>
      </c>
      <c r="D320" t="s">
        <v>28</v>
      </c>
      <c r="E320" t="s">
        <v>24</v>
      </c>
      <c r="F320" t="s">
        <v>14</v>
      </c>
      <c r="G320">
        <v>6</v>
      </c>
      <c r="H320">
        <v>7000</v>
      </c>
      <c r="I320">
        <v>9000</v>
      </c>
      <c r="J320">
        <v>841</v>
      </c>
      <c r="K320">
        <v>53159</v>
      </c>
    </row>
    <row r="321" spans="1:11" x14ac:dyDescent="0.3">
      <c r="A321">
        <v>1320</v>
      </c>
      <c r="B321" s="1">
        <v>45385</v>
      </c>
      <c r="C321" t="s">
        <v>11</v>
      </c>
      <c r="D321" t="s">
        <v>30</v>
      </c>
      <c r="E321" t="s">
        <v>33</v>
      </c>
      <c r="F321" t="s">
        <v>27</v>
      </c>
      <c r="G321">
        <v>6</v>
      </c>
      <c r="H321">
        <v>2000</v>
      </c>
      <c r="I321">
        <v>2500</v>
      </c>
      <c r="J321">
        <v>655</v>
      </c>
      <c r="K321">
        <v>14345</v>
      </c>
    </row>
    <row r="322" spans="1:11" x14ac:dyDescent="0.3">
      <c r="A322">
        <v>1321</v>
      </c>
      <c r="B322" s="1">
        <v>45315</v>
      </c>
      <c r="C322" t="s">
        <v>20</v>
      </c>
      <c r="D322" t="s">
        <v>21</v>
      </c>
      <c r="E322" t="s">
        <v>31</v>
      </c>
      <c r="F322" t="s">
        <v>14</v>
      </c>
      <c r="G322">
        <v>3</v>
      </c>
      <c r="H322">
        <v>1000</v>
      </c>
      <c r="I322">
        <v>1500</v>
      </c>
      <c r="J322">
        <v>29</v>
      </c>
      <c r="K322">
        <v>4471</v>
      </c>
    </row>
    <row r="323" spans="1:11" x14ac:dyDescent="0.3">
      <c r="A323">
        <v>1322</v>
      </c>
      <c r="B323" s="1">
        <v>45348</v>
      </c>
      <c r="C323" t="s">
        <v>20</v>
      </c>
      <c r="D323" t="s">
        <v>30</v>
      </c>
      <c r="E323" t="s">
        <v>17</v>
      </c>
      <c r="F323" t="s">
        <v>14</v>
      </c>
      <c r="G323">
        <v>5</v>
      </c>
      <c r="H323">
        <v>8000</v>
      </c>
      <c r="I323">
        <v>9500</v>
      </c>
      <c r="J323">
        <v>1960</v>
      </c>
      <c r="K323">
        <v>45540</v>
      </c>
    </row>
    <row r="324" spans="1:11" x14ac:dyDescent="0.3">
      <c r="A324">
        <v>1323</v>
      </c>
      <c r="B324" s="1">
        <v>45455</v>
      </c>
      <c r="C324" t="s">
        <v>18</v>
      </c>
      <c r="D324" t="s">
        <v>16</v>
      </c>
      <c r="E324" t="s">
        <v>24</v>
      </c>
      <c r="F324" t="s">
        <v>14</v>
      </c>
      <c r="G324">
        <v>1</v>
      </c>
      <c r="H324">
        <v>7000</v>
      </c>
      <c r="I324">
        <v>9000</v>
      </c>
      <c r="J324">
        <v>1175</v>
      </c>
      <c r="K324">
        <v>7825</v>
      </c>
    </row>
    <row r="325" spans="1:11" x14ac:dyDescent="0.3">
      <c r="A325">
        <v>1324</v>
      </c>
      <c r="B325" s="1">
        <v>45322</v>
      </c>
      <c r="C325" t="s">
        <v>11</v>
      </c>
      <c r="D325" t="s">
        <v>28</v>
      </c>
      <c r="E325" t="s">
        <v>26</v>
      </c>
      <c r="F325" t="s">
        <v>27</v>
      </c>
      <c r="G325">
        <v>4</v>
      </c>
      <c r="H325">
        <v>5000</v>
      </c>
      <c r="I325">
        <v>6500</v>
      </c>
      <c r="J325">
        <v>1763</v>
      </c>
      <c r="K325">
        <v>24237</v>
      </c>
    </row>
    <row r="326" spans="1:11" x14ac:dyDescent="0.3">
      <c r="A326">
        <v>1325</v>
      </c>
      <c r="B326" s="1">
        <v>45443</v>
      </c>
      <c r="C326" t="s">
        <v>20</v>
      </c>
      <c r="D326" t="s">
        <v>30</v>
      </c>
      <c r="E326" t="s">
        <v>17</v>
      </c>
      <c r="F326" t="s">
        <v>14</v>
      </c>
      <c r="G326">
        <v>5</v>
      </c>
      <c r="H326">
        <v>8000</v>
      </c>
      <c r="I326">
        <v>9500</v>
      </c>
      <c r="J326">
        <v>1055</v>
      </c>
      <c r="K326">
        <v>46445</v>
      </c>
    </row>
    <row r="327" spans="1:11" x14ac:dyDescent="0.3">
      <c r="A327">
        <v>1326</v>
      </c>
      <c r="B327" s="1">
        <v>45301</v>
      </c>
      <c r="C327" t="s">
        <v>20</v>
      </c>
      <c r="D327" t="s">
        <v>30</v>
      </c>
      <c r="E327" t="s">
        <v>31</v>
      </c>
      <c r="F327" t="s">
        <v>14</v>
      </c>
      <c r="G327">
        <v>5</v>
      </c>
      <c r="H327">
        <v>1000</v>
      </c>
      <c r="I327">
        <v>1500</v>
      </c>
      <c r="J327">
        <v>1346</v>
      </c>
      <c r="K327">
        <v>6154</v>
      </c>
    </row>
    <row r="328" spans="1:11" x14ac:dyDescent="0.3">
      <c r="A328">
        <v>1327</v>
      </c>
      <c r="B328" s="1">
        <v>45297</v>
      </c>
      <c r="C328" t="s">
        <v>20</v>
      </c>
      <c r="D328" t="s">
        <v>21</v>
      </c>
      <c r="E328" t="s">
        <v>17</v>
      </c>
      <c r="F328" t="s">
        <v>14</v>
      </c>
      <c r="G328">
        <v>2</v>
      </c>
      <c r="H328">
        <v>8000</v>
      </c>
      <c r="I328">
        <v>9500</v>
      </c>
      <c r="J328">
        <v>1595</v>
      </c>
      <c r="K328">
        <v>17405</v>
      </c>
    </row>
    <row r="329" spans="1:11" x14ac:dyDescent="0.3">
      <c r="A329">
        <v>1328</v>
      </c>
      <c r="B329" s="1">
        <v>45384</v>
      </c>
      <c r="C329" t="s">
        <v>15</v>
      </c>
      <c r="D329" t="s">
        <v>28</v>
      </c>
      <c r="E329" t="s">
        <v>24</v>
      </c>
      <c r="F329" t="s">
        <v>14</v>
      </c>
      <c r="G329">
        <v>4</v>
      </c>
      <c r="H329">
        <v>7000</v>
      </c>
      <c r="I329">
        <v>9000</v>
      </c>
      <c r="J329">
        <v>671</v>
      </c>
      <c r="K329">
        <v>35329</v>
      </c>
    </row>
    <row r="330" spans="1:11" x14ac:dyDescent="0.3">
      <c r="A330">
        <v>1329</v>
      </c>
      <c r="B330" s="1">
        <v>45461</v>
      </c>
      <c r="C330" t="s">
        <v>18</v>
      </c>
      <c r="D330" t="s">
        <v>28</v>
      </c>
      <c r="E330" t="s">
        <v>29</v>
      </c>
      <c r="F330" t="s">
        <v>27</v>
      </c>
      <c r="G330">
        <v>4</v>
      </c>
      <c r="H330">
        <v>4000</v>
      </c>
      <c r="I330">
        <v>5500</v>
      </c>
      <c r="J330">
        <v>1374</v>
      </c>
      <c r="K330">
        <v>20626</v>
      </c>
    </row>
    <row r="331" spans="1:11" x14ac:dyDescent="0.3">
      <c r="A331">
        <v>1330</v>
      </c>
      <c r="B331" s="1">
        <v>45375</v>
      </c>
      <c r="C331" t="s">
        <v>11</v>
      </c>
      <c r="D331" t="s">
        <v>21</v>
      </c>
      <c r="E331" t="s">
        <v>24</v>
      </c>
      <c r="F331" t="s">
        <v>14</v>
      </c>
      <c r="G331">
        <v>5</v>
      </c>
      <c r="H331">
        <v>7000</v>
      </c>
      <c r="I331">
        <v>9000</v>
      </c>
      <c r="J331">
        <v>1122</v>
      </c>
      <c r="K331">
        <v>43878</v>
      </c>
    </row>
    <row r="332" spans="1:11" x14ac:dyDescent="0.3">
      <c r="A332">
        <v>1331</v>
      </c>
      <c r="B332" s="1">
        <v>45326</v>
      </c>
      <c r="C332" t="s">
        <v>11</v>
      </c>
      <c r="D332" t="s">
        <v>12</v>
      </c>
      <c r="E332" t="s">
        <v>25</v>
      </c>
      <c r="F332" t="s">
        <v>14</v>
      </c>
      <c r="G332">
        <v>5</v>
      </c>
      <c r="H332">
        <v>15000</v>
      </c>
      <c r="I332">
        <v>18000</v>
      </c>
      <c r="J332">
        <v>1433</v>
      </c>
      <c r="K332">
        <v>88567</v>
      </c>
    </row>
    <row r="333" spans="1:11" x14ac:dyDescent="0.3">
      <c r="A333">
        <v>1332</v>
      </c>
      <c r="B333" s="1">
        <v>45324</v>
      </c>
      <c r="C333" t="s">
        <v>20</v>
      </c>
      <c r="D333" t="s">
        <v>30</v>
      </c>
      <c r="E333" t="s">
        <v>22</v>
      </c>
      <c r="F333" t="s">
        <v>14</v>
      </c>
      <c r="G333">
        <v>6</v>
      </c>
      <c r="H333">
        <v>300</v>
      </c>
      <c r="I333">
        <v>600</v>
      </c>
      <c r="J333">
        <v>889</v>
      </c>
      <c r="K333">
        <v>2711</v>
      </c>
    </row>
    <row r="334" spans="1:11" x14ac:dyDescent="0.3">
      <c r="A334">
        <v>1333</v>
      </c>
      <c r="B334" s="1">
        <v>45292</v>
      </c>
      <c r="C334" t="s">
        <v>18</v>
      </c>
      <c r="D334" t="s">
        <v>30</v>
      </c>
      <c r="E334" t="s">
        <v>24</v>
      </c>
      <c r="F334" t="s">
        <v>14</v>
      </c>
      <c r="G334">
        <v>3</v>
      </c>
      <c r="H334">
        <v>7000</v>
      </c>
      <c r="I334">
        <v>9000</v>
      </c>
      <c r="J334">
        <v>1139</v>
      </c>
      <c r="K334">
        <v>25861</v>
      </c>
    </row>
    <row r="335" spans="1:11" x14ac:dyDescent="0.3">
      <c r="A335">
        <v>1334</v>
      </c>
      <c r="B335" s="1">
        <v>45431</v>
      </c>
      <c r="C335" t="s">
        <v>15</v>
      </c>
      <c r="D335" t="s">
        <v>23</v>
      </c>
      <c r="E335" t="s">
        <v>24</v>
      </c>
      <c r="F335" t="s">
        <v>14</v>
      </c>
      <c r="G335">
        <v>3</v>
      </c>
      <c r="H335">
        <v>7000</v>
      </c>
      <c r="I335">
        <v>9000</v>
      </c>
      <c r="J335">
        <v>772</v>
      </c>
      <c r="K335">
        <v>26228</v>
      </c>
    </row>
    <row r="336" spans="1:11" x14ac:dyDescent="0.3">
      <c r="A336">
        <v>1335</v>
      </c>
      <c r="B336" s="1">
        <v>45394</v>
      </c>
      <c r="C336" t="s">
        <v>15</v>
      </c>
      <c r="D336" t="s">
        <v>16</v>
      </c>
      <c r="E336" t="s">
        <v>24</v>
      </c>
      <c r="F336" t="s">
        <v>14</v>
      </c>
      <c r="G336">
        <v>1</v>
      </c>
      <c r="H336">
        <v>7000</v>
      </c>
      <c r="I336">
        <v>9000</v>
      </c>
      <c r="J336">
        <v>514</v>
      </c>
      <c r="K336">
        <v>8486</v>
      </c>
    </row>
    <row r="337" spans="1:11" x14ac:dyDescent="0.3">
      <c r="A337">
        <v>1336</v>
      </c>
      <c r="B337" s="1">
        <v>45457</v>
      </c>
      <c r="C337" t="s">
        <v>11</v>
      </c>
      <c r="D337" t="s">
        <v>28</v>
      </c>
      <c r="E337" t="s">
        <v>22</v>
      </c>
      <c r="F337" t="s">
        <v>14</v>
      </c>
      <c r="G337">
        <v>6</v>
      </c>
      <c r="H337">
        <v>300</v>
      </c>
      <c r="I337">
        <v>600</v>
      </c>
      <c r="J337">
        <v>1171</v>
      </c>
      <c r="K337">
        <v>2429</v>
      </c>
    </row>
    <row r="338" spans="1:11" x14ac:dyDescent="0.3">
      <c r="A338">
        <v>1337</v>
      </c>
      <c r="B338" s="1">
        <v>45438</v>
      </c>
      <c r="C338" t="s">
        <v>11</v>
      </c>
      <c r="D338" t="s">
        <v>23</v>
      </c>
      <c r="E338" t="s">
        <v>26</v>
      </c>
      <c r="F338" t="s">
        <v>27</v>
      </c>
      <c r="G338">
        <v>1</v>
      </c>
      <c r="H338">
        <v>5000</v>
      </c>
      <c r="I338">
        <v>6500</v>
      </c>
      <c r="J338">
        <v>675</v>
      </c>
      <c r="K338">
        <v>5825</v>
      </c>
    </row>
    <row r="339" spans="1:11" x14ac:dyDescent="0.3">
      <c r="A339">
        <v>1338</v>
      </c>
      <c r="B339" s="1">
        <v>45464</v>
      </c>
      <c r="C339" t="s">
        <v>20</v>
      </c>
      <c r="D339" t="s">
        <v>21</v>
      </c>
      <c r="E339" t="s">
        <v>29</v>
      </c>
      <c r="F339" t="s">
        <v>27</v>
      </c>
      <c r="G339">
        <v>5</v>
      </c>
      <c r="H339">
        <v>4000</v>
      </c>
      <c r="I339">
        <v>5500</v>
      </c>
      <c r="J339">
        <v>1929</v>
      </c>
      <c r="K339">
        <v>25571</v>
      </c>
    </row>
    <row r="340" spans="1:11" x14ac:dyDescent="0.3">
      <c r="A340">
        <v>1339</v>
      </c>
      <c r="B340" s="1">
        <v>45400</v>
      </c>
      <c r="C340" t="s">
        <v>20</v>
      </c>
      <c r="D340" t="s">
        <v>30</v>
      </c>
      <c r="E340" t="s">
        <v>32</v>
      </c>
      <c r="F340" t="s">
        <v>27</v>
      </c>
      <c r="G340">
        <v>4</v>
      </c>
      <c r="H340">
        <v>20000</v>
      </c>
      <c r="I340">
        <v>25000</v>
      </c>
      <c r="J340">
        <v>693</v>
      </c>
      <c r="K340">
        <v>99307</v>
      </c>
    </row>
    <row r="341" spans="1:11" x14ac:dyDescent="0.3">
      <c r="A341">
        <v>1340</v>
      </c>
      <c r="B341" s="1">
        <v>45416</v>
      </c>
      <c r="C341" t="s">
        <v>11</v>
      </c>
      <c r="D341" t="s">
        <v>23</v>
      </c>
      <c r="E341" t="s">
        <v>31</v>
      </c>
      <c r="F341" t="s">
        <v>14</v>
      </c>
      <c r="G341">
        <v>2</v>
      </c>
      <c r="H341">
        <v>1000</v>
      </c>
      <c r="I341">
        <v>1500</v>
      </c>
      <c r="J341">
        <v>611</v>
      </c>
      <c r="K341">
        <v>2389</v>
      </c>
    </row>
    <row r="342" spans="1:11" x14ac:dyDescent="0.3">
      <c r="A342">
        <v>1341</v>
      </c>
      <c r="B342" s="1">
        <v>45323</v>
      </c>
      <c r="C342" t="s">
        <v>11</v>
      </c>
      <c r="D342" t="s">
        <v>30</v>
      </c>
      <c r="E342" t="s">
        <v>22</v>
      </c>
      <c r="F342" t="s">
        <v>14</v>
      </c>
      <c r="G342">
        <v>1</v>
      </c>
      <c r="H342">
        <v>300</v>
      </c>
      <c r="I342">
        <v>600</v>
      </c>
      <c r="J342">
        <v>1200</v>
      </c>
      <c r="K342">
        <v>-600</v>
      </c>
    </row>
    <row r="343" spans="1:11" x14ac:dyDescent="0.3">
      <c r="A343">
        <v>1342</v>
      </c>
      <c r="B343" s="1">
        <v>45368</v>
      </c>
      <c r="C343" t="s">
        <v>18</v>
      </c>
      <c r="D343" t="s">
        <v>12</v>
      </c>
      <c r="E343" t="s">
        <v>25</v>
      </c>
      <c r="F343" t="s">
        <v>14</v>
      </c>
      <c r="G343">
        <v>5</v>
      </c>
      <c r="H343">
        <v>15000</v>
      </c>
      <c r="I343">
        <v>18000</v>
      </c>
      <c r="J343">
        <v>1916</v>
      </c>
      <c r="K343">
        <v>88084</v>
      </c>
    </row>
    <row r="344" spans="1:11" x14ac:dyDescent="0.3">
      <c r="A344">
        <v>1343</v>
      </c>
      <c r="B344" s="1">
        <v>45468</v>
      </c>
      <c r="C344" t="s">
        <v>20</v>
      </c>
      <c r="D344" t="s">
        <v>21</v>
      </c>
      <c r="E344" t="s">
        <v>33</v>
      </c>
      <c r="F344" t="s">
        <v>27</v>
      </c>
      <c r="G344">
        <v>1</v>
      </c>
      <c r="H344">
        <v>2000</v>
      </c>
      <c r="I344">
        <v>2500</v>
      </c>
      <c r="J344">
        <v>1127</v>
      </c>
      <c r="K344">
        <v>1373</v>
      </c>
    </row>
    <row r="345" spans="1:11" x14ac:dyDescent="0.3">
      <c r="A345">
        <v>1344</v>
      </c>
      <c r="B345" s="1">
        <v>45425</v>
      </c>
      <c r="C345" t="s">
        <v>18</v>
      </c>
      <c r="D345" t="s">
        <v>30</v>
      </c>
      <c r="E345" t="s">
        <v>17</v>
      </c>
      <c r="F345" t="s">
        <v>14</v>
      </c>
      <c r="G345">
        <v>1</v>
      </c>
      <c r="H345">
        <v>8000</v>
      </c>
      <c r="I345">
        <v>9500</v>
      </c>
      <c r="J345">
        <v>387</v>
      </c>
      <c r="K345">
        <v>9113</v>
      </c>
    </row>
    <row r="346" spans="1:11" x14ac:dyDescent="0.3">
      <c r="A346">
        <v>1345</v>
      </c>
      <c r="B346" s="1">
        <v>45417</v>
      </c>
      <c r="C346" t="s">
        <v>11</v>
      </c>
      <c r="D346" t="s">
        <v>23</v>
      </c>
      <c r="E346" t="s">
        <v>33</v>
      </c>
      <c r="F346" t="s">
        <v>27</v>
      </c>
      <c r="G346">
        <v>2</v>
      </c>
      <c r="H346">
        <v>2000</v>
      </c>
      <c r="I346">
        <v>2500</v>
      </c>
      <c r="J346">
        <v>1628</v>
      </c>
      <c r="K346">
        <v>3372</v>
      </c>
    </row>
    <row r="347" spans="1:11" x14ac:dyDescent="0.3">
      <c r="A347">
        <v>1346</v>
      </c>
      <c r="B347" s="1">
        <v>45416</v>
      </c>
      <c r="C347" t="s">
        <v>11</v>
      </c>
      <c r="D347" t="s">
        <v>12</v>
      </c>
      <c r="E347" t="s">
        <v>31</v>
      </c>
      <c r="F347" t="s">
        <v>14</v>
      </c>
      <c r="G347">
        <v>6</v>
      </c>
      <c r="H347">
        <v>1000</v>
      </c>
      <c r="I347">
        <v>1500</v>
      </c>
      <c r="J347">
        <v>1746</v>
      </c>
      <c r="K347">
        <v>7254</v>
      </c>
    </row>
    <row r="348" spans="1:11" x14ac:dyDescent="0.3">
      <c r="A348">
        <v>1347</v>
      </c>
      <c r="B348" s="1">
        <v>45346</v>
      </c>
      <c r="C348" t="s">
        <v>11</v>
      </c>
      <c r="D348" t="s">
        <v>30</v>
      </c>
      <c r="E348" t="s">
        <v>33</v>
      </c>
      <c r="F348" t="s">
        <v>27</v>
      </c>
      <c r="G348">
        <v>1</v>
      </c>
      <c r="H348">
        <v>2000</v>
      </c>
      <c r="I348">
        <v>2500</v>
      </c>
      <c r="J348">
        <v>469</v>
      </c>
      <c r="K348">
        <v>2031</v>
      </c>
    </row>
    <row r="349" spans="1:11" x14ac:dyDescent="0.3">
      <c r="A349">
        <v>1348</v>
      </c>
      <c r="B349" s="1">
        <v>45420</v>
      </c>
      <c r="C349" t="s">
        <v>11</v>
      </c>
      <c r="D349" t="s">
        <v>21</v>
      </c>
      <c r="E349" t="s">
        <v>25</v>
      </c>
      <c r="F349" t="s">
        <v>14</v>
      </c>
      <c r="G349">
        <v>4</v>
      </c>
      <c r="H349">
        <v>15000</v>
      </c>
      <c r="I349">
        <v>18000</v>
      </c>
      <c r="J349">
        <v>362</v>
      </c>
      <c r="K349">
        <v>71638</v>
      </c>
    </row>
    <row r="350" spans="1:11" x14ac:dyDescent="0.3">
      <c r="A350">
        <v>1349</v>
      </c>
      <c r="B350" s="1">
        <v>45455</v>
      </c>
      <c r="C350" t="s">
        <v>15</v>
      </c>
      <c r="D350" t="s">
        <v>23</v>
      </c>
      <c r="E350" t="s">
        <v>32</v>
      </c>
      <c r="F350" t="s">
        <v>27</v>
      </c>
      <c r="G350">
        <v>1</v>
      </c>
      <c r="H350">
        <v>20000</v>
      </c>
      <c r="I350">
        <v>25000</v>
      </c>
      <c r="J350">
        <v>1087</v>
      </c>
      <c r="K350">
        <v>23913</v>
      </c>
    </row>
    <row r="351" spans="1:11" x14ac:dyDescent="0.3">
      <c r="A351">
        <v>1350</v>
      </c>
      <c r="B351" s="1">
        <v>45332</v>
      </c>
      <c r="C351" t="s">
        <v>18</v>
      </c>
      <c r="D351" t="s">
        <v>30</v>
      </c>
      <c r="E351" t="s">
        <v>17</v>
      </c>
      <c r="F351" t="s">
        <v>14</v>
      </c>
      <c r="G351">
        <v>1</v>
      </c>
      <c r="H351">
        <v>8000</v>
      </c>
      <c r="I351">
        <v>9500</v>
      </c>
      <c r="J351">
        <v>451</v>
      </c>
      <c r="K351">
        <v>9049</v>
      </c>
    </row>
    <row r="352" spans="1:11" x14ac:dyDescent="0.3">
      <c r="A352">
        <v>1351</v>
      </c>
      <c r="B352" s="1">
        <v>45387</v>
      </c>
      <c r="C352" t="s">
        <v>15</v>
      </c>
      <c r="D352" t="s">
        <v>21</v>
      </c>
      <c r="E352" t="s">
        <v>32</v>
      </c>
      <c r="F352" t="s">
        <v>27</v>
      </c>
      <c r="G352">
        <v>6</v>
      </c>
      <c r="H352">
        <v>20000</v>
      </c>
      <c r="I352">
        <v>25000</v>
      </c>
      <c r="J352">
        <v>948</v>
      </c>
      <c r="K352">
        <v>149052</v>
      </c>
    </row>
    <row r="353" spans="1:11" x14ac:dyDescent="0.3">
      <c r="A353">
        <v>1352</v>
      </c>
      <c r="B353" s="1">
        <v>45438</v>
      </c>
      <c r="C353" t="s">
        <v>18</v>
      </c>
      <c r="D353" t="s">
        <v>16</v>
      </c>
      <c r="E353" t="s">
        <v>25</v>
      </c>
      <c r="F353" t="s">
        <v>14</v>
      </c>
      <c r="G353">
        <v>5</v>
      </c>
      <c r="H353">
        <v>15000</v>
      </c>
      <c r="I353">
        <v>18000</v>
      </c>
      <c r="J353">
        <v>1603</v>
      </c>
      <c r="K353">
        <v>88397</v>
      </c>
    </row>
    <row r="354" spans="1:11" x14ac:dyDescent="0.3">
      <c r="A354">
        <v>1353</v>
      </c>
      <c r="B354" s="1">
        <v>45457</v>
      </c>
      <c r="C354" t="s">
        <v>15</v>
      </c>
      <c r="D354" t="s">
        <v>23</v>
      </c>
      <c r="E354" t="s">
        <v>25</v>
      </c>
      <c r="F354" t="s">
        <v>14</v>
      </c>
      <c r="G354">
        <v>2</v>
      </c>
      <c r="H354">
        <v>15000</v>
      </c>
      <c r="I354">
        <v>18000</v>
      </c>
      <c r="J354">
        <v>122</v>
      </c>
      <c r="K354">
        <v>35878</v>
      </c>
    </row>
    <row r="355" spans="1:11" x14ac:dyDescent="0.3">
      <c r="A355">
        <v>1354</v>
      </c>
      <c r="B355" s="1">
        <v>45324</v>
      </c>
      <c r="C355" t="s">
        <v>11</v>
      </c>
      <c r="D355" t="s">
        <v>28</v>
      </c>
      <c r="E355" t="s">
        <v>33</v>
      </c>
      <c r="F355" t="s">
        <v>27</v>
      </c>
      <c r="G355">
        <v>1</v>
      </c>
      <c r="H355">
        <v>2000</v>
      </c>
      <c r="I355">
        <v>2500</v>
      </c>
      <c r="J355">
        <v>1617</v>
      </c>
      <c r="K355">
        <v>883</v>
      </c>
    </row>
    <row r="356" spans="1:11" x14ac:dyDescent="0.3">
      <c r="A356">
        <v>1355</v>
      </c>
      <c r="B356" s="1">
        <v>45325</v>
      </c>
      <c r="C356" t="s">
        <v>15</v>
      </c>
      <c r="D356" t="s">
        <v>16</v>
      </c>
      <c r="E356" t="s">
        <v>32</v>
      </c>
      <c r="F356" t="s">
        <v>27</v>
      </c>
      <c r="G356">
        <v>4</v>
      </c>
      <c r="H356">
        <v>20000</v>
      </c>
      <c r="I356">
        <v>25000</v>
      </c>
      <c r="J356">
        <v>1498</v>
      </c>
      <c r="K356">
        <v>98502</v>
      </c>
    </row>
    <row r="357" spans="1:11" x14ac:dyDescent="0.3">
      <c r="A357">
        <v>1356</v>
      </c>
      <c r="B357" s="1">
        <v>45339</v>
      </c>
      <c r="C357" t="s">
        <v>20</v>
      </c>
      <c r="D357" t="s">
        <v>23</v>
      </c>
      <c r="E357" t="s">
        <v>17</v>
      </c>
      <c r="F357" t="s">
        <v>14</v>
      </c>
      <c r="G357">
        <v>4</v>
      </c>
      <c r="H357">
        <v>8000</v>
      </c>
      <c r="I357">
        <v>9500</v>
      </c>
      <c r="J357">
        <v>1933</v>
      </c>
      <c r="K357">
        <v>36067</v>
      </c>
    </row>
    <row r="358" spans="1:11" x14ac:dyDescent="0.3">
      <c r="A358">
        <v>1357</v>
      </c>
      <c r="B358" s="1">
        <v>45369</v>
      </c>
      <c r="C358" t="s">
        <v>18</v>
      </c>
      <c r="D358" t="s">
        <v>23</v>
      </c>
      <c r="E358" t="s">
        <v>17</v>
      </c>
      <c r="F358" t="s">
        <v>14</v>
      </c>
      <c r="G358">
        <v>4</v>
      </c>
      <c r="H358">
        <v>8000</v>
      </c>
      <c r="I358">
        <v>9500</v>
      </c>
      <c r="J358">
        <v>1822</v>
      </c>
      <c r="K358">
        <v>36178</v>
      </c>
    </row>
    <row r="359" spans="1:11" x14ac:dyDescent="0.3">
      <c r="A359">
        <v>1358</v>
      </c>
      <c r="B359" s="1">
        <v>45406</v>
      </c>
      <c r="C359" t="s">
        <v>18</v>
      </c>
      <c r="D359" t="s">
        <v>28</v>
      </c>
      <c r="E359" t="s">
        <v>22</v>
      </c>
      <c r="F359" t="s">
        <v>14</v>
      </c>
      <c r="G359">
        <v>3</v>
      </c>
      <c r="H359">
        <v>300</v>
      </c>
      <c r="I359">
        <v>600</v>
      </c>
      <c r="J359">
        <v>1113</v>
      </c>
      <c r="K359">
        <v>687</v>
      </c>
    </row>
    <row r="360" spans="1:11" x14ac:dyDescent="0.3">
      <c r="A360">
        <v>1359</v>
      </c>
      <c r="B360" s="1">
        <v>45447</v>
      </c>
      <c r="C360" t="s">
        <v>15</v>
      </c>
      <c r="D360" t="s">
        <v>12</v>
      </c>
      <c r="E360" t="s">
        <v>19</v>
      </c>
      <c r="F360" t="s">
        <v>14</v>
      </c>
      <c r="G360">
        <v>6</v>
      </c>
      <c r="H360">
        <v>40000</v>
      </c>
      <c r="I360">
        <v>45000</v>
      </c>
      <c r="J360">
        <v>610</v>
      </c>
      <c r="K360">
        <v>269390</v>
      </c>
    </row>
    <row r="361" spans="1:11" x14ac:dyDescent="0.3">
      <c r="A361">
        <v>1360</v>
      </c>
      <c r="B361" s="1">
        <v>45396</v>
      </c>
      <c r="C361" t="s">
        <v>20</v>
      </c>
      <c r="D361" t="s">
        <v>23</v>
      </c>
      <c r="E361" t="s">
        <v>33</v>
      </c>
      <c r="F361" t="s">
        <v>27</v>
      </c>
      <c r="G361">
        <v>4</v>
      </c>
      <c r="H361">
        <v>2000</v>
      </c>
      <c r="I361">
        <v>2500</v>
      </c>
      <c r="J361">
        <v>417</v>
      </c>
      <c r="K361">
        <v>9583</v>
      </c>
    </row>
    <row r="362" spans="1:11" x14ac:dyDescent="0.3">
      <c r="A362">
        <v>1361</v>
      </c>
      <c r="B362" s="1">
        <v>45423</v>
      </c>
      <c r="C362" t="s">
        <v>18</v>
      </c>
      <c r="D362" t="s">
        <v>30</v>
      </c>
      <c r="E362" t="s">
        <v>25</v>
      </c>
      <c r="F362" t="s">
        <v>14</v>
      </c>
      <c r="G362">
        <v>5</v>
      </c>
      <c r="H362">
        <v>15000</v>
      </c>
      <c r="I362">
        <v>18000</v>
      </c>
      <c r="J362">
        <v>1843</v>
      </c>
      <c r="K362">
        <v>88157</v>
      </c>
    </row>
    <row r="363" spans="1:11" x14ac:dyDescent="0.3">
      <c r="A363">
        <v>1362</v>
      </c>
      <c r="B363" s="1">
        <v>45307</v>
      </c>
      <c r="C363" t="s">
        <v>15</v>
      </c>
      <c r="D363" t="s">
        <v>16</v>
      </c>
      <c r="E363" t="s">
        <v>24</v>
      </c>
      <c r="F363" t="s">
        <v>14</v>
      </c>
      <c r="G363">
        <v>2</v>
      </c>
      <c r="H363">
        <v>7000</v>
      </c>
      <c r="I363">
        <v>9000</v>
      </c>
      <c r="J363">
        <v>255</v>
      </c>
      <c r="K363">
        <v>17745</v>
      </c>
    </row>
    <row r="364" spans="1:11" x14ac:dyDescent="0.3">
      <c r="A364">
        <v>1363</v>
      </c>
      <c r="B364" s="1">
        <v>45423</v>
      </c>
      <c r="C364" t="s">
        <v>11</v>
      </c>
      <c r="D364" t="s">
        <v>12</v>
      </c>
      <c r="E364" t="s">
        <v>19</v>
      </c>
      <c r="F364" t="s">
        <v>14</v>
      </c>
      <c r="G364">
        <v>1</v>
      </c>
      <c r="H364">
        <v>40000</v>
      </c>
      <c r="I364">
        <v>45000</v>
      </c>
      <c r="J364">
        <v>1839</v>
      </c>
      <c r="K364">
        <v>43161</v>
      </c>
    </row>
    <row r="365" spans="1:11" x14ac:dyDescent="0.3">
      <c r="A365">
        <v>1364</v>
      </c>
      <c r="B365" s="1">
        <v>45323</v>
      </c>
      <c r="C365" t="s">
        <v>11</v>
      </c>
      <c r="D365" t="s">
        <v>16</v>
      </c>
      <c r="E365" t="s">
        <v>31</v>
      </c>
      <c r="F365" t="s">
        <v>14</v>
      </c>
      <c r="G365">
        <v>6</v>
      </c>
      <c r="H365">
        <v>1000</v>
      </c>
      <c r="I365">
        <v>1500</v>
      </c>
      <c r="J365">
        <v>1912</v>
      </c>
      <c r="K365">
        <v>7088</v>
      </c>
    </row>
    <row r="366" spans="1:11" x14ac:dyDescent="0.3">
      <c r="A366">
        <v>1365</v>
      </c>
      <c r="B366" s="1">
        <v>45366</v>
      </c>
      <c r="C366" t="s">
        <v>15</v>
      </c>
      <c r="D366" t="s">
        <v>12</v>
      </c>
      <c r="E366" t="s">
        <v>32</v>
      </c>
      <c r="F366" t="s">
        <v>27</v>
      </c>
      <c r="G366">
        <v>2</v>
      </c>
      <c r="H366">
        <v>20000</v>
      </c>
      <c r="I366">
        <v>25000</v>
      </c>
      <c r="J366">
        <v>1664</v>
      </c>
      <c r="K366">
        <v>48336</v>
      </c>
    </row>
    <row r="367" spans="1:11" x14ac:dyDescent="0.3">
      <c r="A367">
        <v>1366</v>
      </c>
      <c r="B367" s="1">
        <v>45306</v>
      </c>
      <c r="C367" t="s">
        <v>11</v>
      </c>
      <c r="D367" t="s">
        <v>12</v>
      </c>
      <c r="E367" t="s">
        <v>26</v>
      </c>
      <c r="F367" t="s">
        <v>27</v>
      </c>
      <c r="G367">
        <v>3</v>
      </c>
      <c r="H367">
        <v>5000</v>
      </c>
      <c r="I367">
        <v>6500</v>
      </c>
      <c r="J367">
        <v>329</v>
      </c>
      <c r="K367">
        <v>19171</v>
      </c>
    </row>
    <row r="368" spans="1:11" x14ac:dyDescent="0.3">
      <c r="A368">
        <v>1367</v>
      </c>
      <c r="B368" s="1">
        <v>45397</v>
      </c>
      <c r="C368" t="s">
        <v>18</v>
      </c>
      <c r="D368" t="s">
        <v>12</v>
      </c>
      <c r="E368" t="s">
        <v>24</v>
      </c>
      <c r="F368" t="s">
        <v>14</v>
      </c>
      <c r="G368">
        <v>4</v>
      </c>
      <c r="H368">
        <v>7000</v>
      </c>
      <c r="I368">
        <v>9000</v>
      </c>
      <c r="J368">
        <v>1926</v>
      </c>
      <c r="K368">
        <v>34074</v>
      </c>
    </row>
    <row r="369" spans="1:11" x14ac:dyDescent="0.3">
      <c r="A369">
        <v>1368</v>
      </c>
      <c r="B369" s="1">
        <v>45463</v>
      </c>
      <c r="C369" t="s">
        <v>11</v>
      </c>
      <c r="D369" t="s">
        <v>21</v>
      </c>
      <c r="E369" t="s">
        <v>33</v>
      </c>
      <c r="F369" t="s">
        <v>27</v>
      </c>
      <c r="G369">
        <v>1</v>
      </c>
      <c r="H369">
        <v>2000</v>
      </c>
      <c r="I369">
        <v>2500</v>
      </c>
      <c r="J369">
        <v>1797</v>
      </c>
      <c r="K369">
        <v>703</v>
      </c>
    </row>
    <row r="370" spans="1:11" x14ac:dyDescent="0.3">
      <c r="A370">
        <v>1369</v>
      </c>
      <c r="B370" s="1">
        <v>45309</v>
      </c>
      <c r="C370" t="s">
        <v>18</v>
      </c>
      <c r="D370" t="s">
        <v>16</v>
      </c>
      <c r="E370" t="s">
        <v>33</v>
      </c>
      <c r="F370" t="s">
        <v>27</v>
      </c>
      <c r="G370">
        <v>2</v>
      </c>
      <c r="H370">
        <v>2000</v>
      </c>
      <c r="I370">
        <v>2500</v>
      </c>
      <c r="J370">
        <v>72</v>
      </c>
      <c r="K370">
        <v>4928</v>
      </c>
    </row>
    <row r="371" spans="1:11" x14ac:dyDescent="0.3">
      <c r="A371">
        <v>1370</v>
      </c>
      <c r="B371" s="1">
        <v>45456</v>
      </c>
      <c r="C371" t="s">
        <v>15</v>
      </c>
      <c r="D371" t="s">
        <v>16</v>
      </c>
      <c r="E371" t="s">
        <v>31</v>
      </c>
      <c r="F371" t="s">
        <v>14</v>
      </c>
      <c r="G371">
        <v>1</v>
      </c>
      <c r="H371">
        <v>1000</v>
      </c>
      <c r="I371">
        <v>1500</v>
      </c>
      <c r="J371">
        <v>1503</v>
      </c>
      <c r="K371">
        <v>-3</v>
      </c>
    </row>
    <row r="372" spans="1:11" x14ac:dyDescent="0.3">
      <c r="A372">
        <v>1371</v>
      </c>
      <c r="B372" s="1">
        <v>45438</v>
      </c>
      <c r="C372" t="s">
        <v>20</v>
      </c>
      <c r="D372" t="s">
        <v>23</v>
      </c>
      <c r="E372" t="s">
        <v>19</v>
      </c>
      <c r="F372" t="s">
        <v>14</v>
      </c>
      <c r="G372">
        <v>2</v>
      </c>
      <c r="H372">
        <v>40000</v>
      </c>
      <c r="I372">
        <v>45000</v>
      </c>
      <c r="J372">
        <v>378</v>
      </c>
      <c r="K372">
        <v>89622</v>
      </c>
    </row>
    <row r="373" spans="1:11" x14ac:dyDescent="0.3">
      <c r="A373">
        <v>1372</v>
      </c>
      <c r="B373" s="1">
        <v>45422</v>
      </c>
      <c r="C373" t="s">
        <v>18</v>
      </c>
      <c r="D373" t="s">
        <v>23</v>
      </c>
      <c r="E373" t="s">
        <v>26</v>
      </c>
      <c r="F373" t="s">
        <v>27</v>
      </c>
      <c r="G373">
        <v>2</v>
      </c>
      <c r="H373">
        <v>5000</v>
      </c>
      <c r="I373">
        <v>6500</v>
      </c>
      <c r="J373">
        <v>126</v>
      </c>
      <c r="K373">
        <v>12874</v>
      </c>
    </row>
    <row r="374" spans="1:11" x14ac:dyDescent="0.3">
      <c r="A374">
        <v>1373</v>
      </c>
      <c r="B374" s="1">
        <v>45421</v>
      </c>
      <c r="C374" t="s">
        <v>18</v>
      </c>
      <c r="D374" t="s">
        <v>12</v>
      </c>
      <c r="E374" t="s">
        <v>31</v>
      </c>
      <c r="F374" t="s">
        <v>14</v>
      </c>
      <c r="G374">
        <v>5</v>
      </c>
      <c r="H374">
        <v>1000</v>
      </c>
      <c r="I374">
        <v>1500</v>
      </c>
      <c r="J374">
        <v>1141</v>
      </c>
      <c r="K374">
        <v>6359</v>
      </c>
    </row>
    <row r="375" spans="1:11" x14ac:dyDescent="0.3">
      <c r="A375">
        <v>1374</v>
      </c>
      <c r="B375" s="1">
        <v>45366</v>
      </c>
      <c r="C375" t="s">
        <v>11</v>
      </c>
      <c r="D375" t="s">
        <v>21</v>
      </c>
      <c r="E375" t="s">
        <v>26</v>
      </c>
      <c r="F375" t="s">
        <v>27</v>
      </c>
      <c r="G375">
        <v>5</v>
      </c>
      <c r="H375">
        <v>5000</v>
      </c>
      <c r="I375">
        <v>6500</v>
      </c>
      <c r="J375">
        <v>1505</v>
      </c>
      <c r="K375">
        <v>30995</v>
      </c>
    </row>
    <row r="376" spans="1:11" x14ac:dyDescent="0.3">
      <c r="A376">
        <v>1375</v>
      </c>
      <c r="B376" s="1">
        <v>45418</v>
      </c>
      <c r="C376" t="s">
        <v>11</v>
      </c>
      <c r="D376" t="s">
        <v>12</v>
      </c>
      <c r="E376" t="s">
        <v>33</v>
      </c>
      <c r="F376" t="s">
        <v>27</v>
      </c>
      <c r="G376">
        <v>5</v>
      </c>
      <c r="H376">
        <v>2000</v>
      </c>
      <c r="I376">
        <v>2500</v>
      </c>
      <c r="J376">
        <v>625</v>
      </c>
      <c r="K376">
        <v>11875</v>
      </c>
    </row>
    <row r="377" spans="1:11" x14ac:dyDescent="0.3">
      <c r="A377">
        <v>1376</v>
      </c>
      <c r="B377" s="1">
        <v>45321</v>
      </c>
      <c r="C377" t="s">
        <v>11</v>
      </c>
      <c r="D377" t="s">
        <v>16</v>
      </c>
      <c r="E377" t="s">
        <v>24</v>
      </c>
      <c r="F377" t="s">
        <v>14</v>
      </c>
      <c r="G377">
        <v>2</v>
      </c>
      <c r="H377">
        <v>7000</v>
      </c>
      <c r="I377">
        <v>9000</v>
      </c>
      <c r="J377">
        <v>30</v>
      </c>
      <c r="K377">
        <v>17970</v>
      </c>
    </row>
    <row r="378" spans="1:11" x14ac:dyDescent="0.3">
      <c r="A378">
        <v>1377</v>
      </c>
      <c r="B378" s="1">
        <v>45472</v>
      </c>
      <c r="C378" t="s">
        <v>11</v>
      </c>
      <c r="D378" t="s">
        <v>21</v>
      </c>
      <c r="E378" t="s">
        <v>26</v>
      </c>
      <c r="F378" t="s">
        <v>27</v>
      </c>
      <c r="G378">
        <v>2</v>
      </c>
      <c r="H378">
        <v>5000</v>
      </c>
      <c r="I378">
        <v>6500</v>
      </c>
      <c r="J378">
        <v>1624</v>
      </c>
      <c r="K378">
        <v>11376</v>
      </c>
    </row>
    <row r="379" spans="1:11" x14ac:dyDescent="0.3">
      <c r="A379">
        <v>1378</v>
      </c>
      <c r="B379" s="1">
        <v>45438</v>
      </c>
      <c r="C379" t="s">
        <v>20</v>
      </c>
      <c r="D379" t="s">
        <v>30</v>
      </c>
      <c r="E379" t="s">
        <v>25</v>
      </c>
      <c r="F379" t="s">
        <v>14</v>
      </c>
      <c r="G379">
        <v>1</v>
      </c>
      <c r="H379">
        <v>15000</v>
      </c>
      <c r="I379">
        <v>18000</v>
      </c>
      <c r="J379">
        <v>1798</v>
      </c>
      <c r="K379">
        <v>16202</v>
      </c>
    </row>
    <row r="380" spans="1:11" x14ac:dyDescent="0.3">
      <c r="A380">
        <v>1379</v>
      </c>
      <c r="B380" s="1">
        <v>45294</v>
      </c>
      <c r="C380" t="s">
        <v>20</v>
      </c>
      <c r="D380" t="s">
        <v>12</v>
      </c>
      <c r="E380" t="s">
        <v>13</v>
      </c>
      <c r="F380" t="s">
        <v>14</v>
      </c>
      <c r="G380">
        <v>6</v>
      </c>
      <c r="H380">
        <v>500</v>
      </c>
      <c r="I380">
        <v>800</v>
      </c>
      <c r="J380">
        <v>560</v>
      </c>
      <c r="K380">
        <v>4240</v>
      </c>
    </row>
    <row r="381" spans="1:11" x14ac:dyDescent="0.3">
      <c r="A381">
        <v>1380</v>
      </c>
      <c r="B381" s="1">
        <v>45430</v>
      </c>
      <c r="C381" t="s">
        <v>11</v>
      </c>
      <c r="D381" t="s">
        <v>28</v>
      </c>
      <c r="E381" t="s">
        <v>19</v>
      </c>
      <c r="F381" t="s">
        <v>14</v>
      </c>
      <c r="G381">
        <v>4</v>
      </c>
      <c r="H381">
        <v>40000</v>
      </c>
      <c r="I381">
        <v>45000</v>
      </c>
      <c r="J381">
        <v>759</v>
      </c>
      <c r="K381">
        <v>179241</v>
      </c>
    </row>
    <row r="382" spans="1:11" x14ac:dyDescent="0.3">
      <c r="A382">
        <v>1381</v>
      </c>
      <c r="B382" s="1">
        <v>45449</v>
      </c>
      <c r="C382" t="s">
        <v>18</v>
      </c>
      <c r="D382" t="s">
        <v>30</v>
      </c>
      <c r="E382" t="s">
        <v>29</v>
      </c>
      <c r="F382" t="s">
        <v>27</v>
      </c>
      <c r="G382">
        <v>2</v>
      </c>
      <c r="H382">
        <v>4000</v>
      </c>
      <c r="I382">
        <v>5500</v>
      </c>
      <c r="J382">
        <v>738</v>
      </c>
      <c r="K382">
        <v>10262</v>
      </c>
    </row>
    <row r="383" spans="1:11" x14ac:dyDescent="0.3">
      <c r="A383">
        <v>1382</v>
      </c>
      <c r="B383" s="1">
        <v>45408</v>
      </c>
      <c r="C383" t="s">
        <v>15</v>
      </c>
      <c r="D383" t="s">
        <v>28</v>
      </c>
      <c r="E383" t="s">
        <v>32</v>
      </c>
      <c r="F383" t="s">
        <v>27</v>
      </c>
      <c r="G383">
        <v>1</v>
      </c>
      <c r="H383">
        <v>20000</v>
      </c>
      <c r="I383">
        <v>25000</v>
      </c>
      <c r="J383">
        <v>1019</v>
      </c>
      <c r="K383">
        <v>23981</v>
      </c>
    </row>
    <row r="384" spans="1:11" x14ac:dyDescent="0.3">
      <c r="A384">
        <v>1383</v>
      </c>
      <c r="B384" s="1">
        <v>45324</v>
      </c>
      <c r="C384" t="s">
        <v>20</v>
      </c>
      <c r="D384" t="s">
        <v>21</v>
      </c>
      <c r="E384" t="s">
        <v>19</v>
      </c>
      <c r="F384" t="s">
        <v>14</v>
      </c>
      <c r="G384">
        <v>4</v>
      </c>
      <c r="H384">
        <v>40000</v>
      </c>
      <c r="I384">
        <v>45000</v>
      </c>
      <c r="J384">
        <v>122</v>
      </c>
      <c r="K384">
        <v>179878</v>
      </c>
    </row>
    <row r="385" spans="1:11" x14ac:dyDescent="0.3">
      <c r="A385">
        <v>1384</v>
      </c>
      <c r="B385" s="1">
        <v>45338</v>
      </c>
      <c r="C385" t="s">
        <v>15</v>
      </c>
      <c r="D385" t="s">
        <v>21</v>
      </c>
      <c r="E385" t="s">
        <v>17</v>
      </c>
      <c r="F385" t="s">
        <v>14</v>
      </c>
      <c r="G385">
        <v>5</v>
      </c>
      <c r="H385">
        <v>8000</v>
      </c>
      <c r="I385">
        <v>9500</v>
      </c>
      <c r="J385">
        <v>1707</v>
      </c>
      <c r="K385">
        <v>45793</v>
      </c>
    </row>
    <row r="386" spans="1:11" x14ac:dyDescent="0.3">
      <c r="A386">
        <v>1385</v>
      </c>
      <c r="B386" s="1">
        <v>45413</v>
      </c>
      <c r="C386" t="s">
        <v>20</v>
      </c>
      <c r="D386" t="s">
        <v>23</v>
      </c>
      <c r="E386" t="s">
        <v>32</v>
      </c>
      <c r="F386" t="s">
        <v>27</v>
      </c>
      <c r="G386">
        <v>4</v>
      </c>
      <c r="H386">
        <v>20000</v>
      </c>
      <c r="I386">
        <v>25000</v>
      </c>
      <c r="J386">
        <v>1197</v>
      </c>
      <c r="K386">
        <v>98803</v>
      </c>
    </row>
    <row r="387" spans="1:11" x14ac:dyDescent="0.3">
      <c r="A387">
        <v>1386</v>
      </c>
      <c r="B387" s="1">
        <v>45344</v>
      </c>
      <c r="C387" t="s">
        <v>15</v>
      </c>
      <c r="D387" t="s">
        <v>16</v>
      </c>
      <c r="E387" t="s">
        <v>22</v>
      </c>
      <c r="F387" t="s">
        <v>14</v>
      </c>
      <c r="G387">
        <v>5</v>
      </c>
      <c r="H387">
        <v>300</v>
      </c>
      <c r="I387">
        <v>600</v>
      </c>
      <c r="J387">
        <v>1883</v>
      </c>
      <c r="K387">
        <v>1117</v>
      </c>
    </row>
    <row r="388" spans="1:11" x14ac:dyDescent="0.3">
      <c r="A388">
        <v>1387</v>
      </c>
      <c r="B388" s="1">
        <v>45380</v>
      </c>
      <c r="C388" t="s">
        <v>11</v>
      </c>
      <c r="D388" t="s">
        <v>12</v>
      </c>
      <c r="E388" t="s">
        <v>17</v>
      </c>
      <c r="F388" t="s">
        <v>14</v>
      </c>
      <c r="G388">
        <v>4</v>
      </c>
      <c r="H388">
        <v>8000</v>
      </c>
      <c r="I388">
        <v>9500</v>
      </c>
      <c r="J388">
        <v>1194</v>
      </c>
      <c r="K388">
        <v>36806</v>
      </c>
    </row>
    <row r="389" spans="1:11" x14ac:dyDescent="0.3">
      <c r="A389">
        <v>1388</v>
      </c>
      <c r="B389" s="1">
        <v>45332</v>
      </c>
      <c r="C389" t="s">
        <v>20</v>
      </c>
      <c r="D389" t="s">
        <v>23</v>
      </c>
      <c r="E389" t="s">
        <v>26</v>
      </c>
      <c r="F389" t="s">
        <v>27</v>
      </c>
      <c r="G389">
        <v>3</v>
      </c>
      <c r="H389">
        <v>5000</v>
      </c>
      <c r="I389">
        <v>6500</v>
      </c>
      <c r="J389">
        <v>1378</v>
      </c>
      <c r="K389">
        <v>18122</v>
      </c>
    </row>
    <row r="390" spans="1:11" x14ac:dyDescent="0.3">
      <c r="A390">
        <v>1389</v>
      </c>
      <c r="B390" s="1">
        <v>45431</v>
      </c>
      <c r="C390" t="s">
        <v>20</v>
      </c>
      <c r="D390" t="s">
        <v>21</v>
      </c>
      <c r="E390" t="s">
        <v>31</v>
      </c>
      <c r="F390" t="s">
        <v>14</v>
      </c>
      <c r="G390">
        <v>5</v>
      </c>
      <c r="H390">
        <v>1000</v>
      </c>
      <c r="I390">
        <v>1500</v>
      </c>
      <c r="J390">
        <v>1654</v>
      </c>
      <c r="K390">
        <v>5846</v>
      </c>
    </row>
    <row r="391" spans="1:11" x14ac:dyDescent="0.3">
      <c r="A391">
        <v>1390</v>
      </c>
      <c r="B391" s="1">
        <v>45309</v>
      </c>
      <c r="C391" t="s">
        <v>11</v>
      </c>
      <c r="D391" t="s">
        <v>28</v>
      </c>
      <c r="E391" t="s">
        <v>31</v>
      </c>
      <c r="F391" t="s">
        <v>14</v>
      </c>
      <c r="G391">
        <v>3</v>
      </c>
      <c r="H391">
        <v>1000</v>
      </c>
      <c r="I391">
        <v>1500</v>
      </c>
      <c r="J391">
        <v>510</v>
      </c>
      <c r="K391">
        <v>3990</v>
      </c>
    </row>
    <row r="392" spans="1:11" x14ac:dyDescent="0.3">
      <c r="A392">
        <v>1391</v>
      </c>
      <c r="B392" s="1">
        <v>45418</v>
      </c>
      <c r="C392" t="s">
        <v>11</v>
      </c>
      <c r="D392" t="s">
        <v>12</v>
      </c>
      <c r="E392" t="s">
        <v>19</v>
      </c>
      <c r="F392" t="s">
        <v>14</v>
      </c>
      <c r="G392">
        <v>1</v>
      </c>
      <c r="H392">
        <v>40000</v>
      </c>
      <c r="I392">
        <v>45000</v>
      </c>
      <c r="J392">
        <v>1705</v>
      </c>
      <c r="K392">
        <v>43295</v>
      </c>
    </row>
    <row r="393" spans="1:11" x14ac:dyDescent="0.3">
      <c r="A393">
        <v>1392</v>
      </c>
      <c r="B393" s="1">
        <v>45385</v>
      </c>
      <c r="C393" t="s">
        <v>20</v>
      </c>
      <c r="D393" t="s">
        <v>30</v>
      </c>
      <c r="E393" t="s">
        <v>17</v>
      </c>
      <c r="F393" t="s">
        <v>14</v>
      </c>
      <c r="G393">
        <v>5</v>
      </c>
      <c r="H393">
        <v>8000</v>
      </c>
      <c r="I393">
        <v>9500</v>
      </c>
      <c r="J393">
        <v>361</v>
      </c>
      <c r="K393">
        <v>47139</v>
      </c>
    </row>
    <row r="394" spans="1:11" x14ac:dyDescent="0.3">
      <c r="A394">
        <v>1393</v>
      </c>
      <c r="B394" s="1">
        <v>45402</v>
      </c>
      <c r="C394" t="s">
        <v>11</v>
      </c>
      <c r="D394" t="s">
        <v>30</v>
      </c>
      <c r="E394" t="s">
        <v>19</v>
      </c>
      <c r="F394" t="s">
        <v>14</v>
      </c>
      <c r="G394">
        <v>5</v>
      </c>
      <c r="H394">
        <v>40000</v>
      </c>
      <c r="I394">
        <v>45000</v>
      </c>
      <c r="J394">
        <v>1279</v>
      </c>
      <c r="K394">
        <v>223721</v>
      </c>
    </row>
    <row r="395" spans="1:11" x14ac:dyDescent="0.3">
      <c r="A395">
        <v>1394</v>
      </c>
      <c r="B395" s="1">
        <v>45453</v>
      </c>
      <c r="C395" t="s">
        <v>20</v>
      </c>
      <c r="D395" t="s">
        <v>28</v>
      </c>
      <c r="E395" t="s">
        <v>24</v>
      </c>
      <c r="F395" t="s">
        <v>14</v>
      </c>
      <c r="G395">
        <v>6</v>
      </c>
      <c r="H395">
        <v>7000</v>
      </c>
      <c r="I395">
        <v>9000</v>
      </c>
      <c r="J395">
        <v>233</v>
      </c>
      <c r="K395">
        <v>53767</v>
      </c>
    </row>
    <row r="396" spans="1:11" x14ac:dyDescent="0.3">
      <c r="A396">
        <v>1395</v>
      </c>
      <c r="B396" s="1">
        <v>45328</v>
      </c>
      <c r="C396" t="s">
        <v>20</v>
      </c>
      <c r="D396" t="s">
        <v>30</v>
      </c>
      <c r="E396" t="s">
        <v>33</v>
      </c>
      <c r="F396" t="s">
        <v>27</v>
      </c>
      <c r="G396">
        <v>1</v>
      </c>
      <c r="H396">
        <v>2000</v>
      </c>
      <c r="I396">
        <v>2500</v>
      </c>
      <c r="J396">
        <v>1248</v>
      </c>
      <c r="K396">
        <v>1252</v>
      </c>
    </row>
    <row r="397" spans="1:11" x14ac:dyDescent="0.3">
      <c r="A397">
        <v>1396</v>
      </c>
      <c r="B397" s="1">
        <v>45350</v>
      </c>
      <c r="C397" t="s">
        <v>11</v>
      </c>
      <c r="D397" t="s">
        <v>23</v>
      </c>
      <c r="E397" t="s">
        <v>29</v>
      </c>
      <c r="F397" t="s">
        <v>27</v>
      </c>
      <c r="G397">
        <v>6</v>
      </c>
      <c r="H397">
        <v>4000</v>
      </c>
      <c r="I397">
        <v>5500</v>
      </c>
      <c r="J397">
        <v>659</v>
      </c>
      <c r="K397">
        <v>32341</v>
      </c>
    </row>
    <row r="398" spans="1:11" x14ac:dyDescent="0.3">
      <c r="A398">
        <v>1397</v>
      </c>
      <c r="B398" s="1">
        <v>45470</v>
      </c>
      <c r="C398" t="s">
        <v>11</v>
      </c>
      <c r="D398" t="s">
        <v>12</v>
      </c>
      <c r="E398" t="s">
        <v>25</v>
      </c>
      <c r="F398" t="s">
        <v>14</v>
      </c>
      <c r="G398">
        <v>1</v>
      </c>
      <c r="H398">
        <v>15000</v>
      </c>
      <c r="I398">
        <v>18000</v>
      </c>
      <c r="J398">
        <v>336</v>
      </c>
      <c r="K398">
        <v>17664</v>
      </c>
    </row>
    <row r="399" spans="1:11" x14ac:dyDescent="0.3">
      <c r="A399">
        <v>1398</v>
      </c>
      <c r="B399" s="1">
        <v>45421</v>
      </c>
      <c r="C399" t="s">
        <v>11</v>
      </c>
      <c r="D399" t="s">
        <v>23</v>
      </c>
      <c r="E399" t="s">
        <v>22</v>
      </c>
      <c r="F399" t="s">
        <v>14</v>
      </c>
      <c r="G399">
        <v>2</v>
      </c>
      <c r="H399">
        <v>300</v>
      </c>
      <c r="I399">
        <v>600</v>
      </c>
      <c r="J399">
        <v>200</v>
      </c>
      <c r="K399">
        <v>1000</v>
      </c>
    </row>
    <row r="400" spans="1:11" x14ac:dyDescent="0.3">
      <c r="A400">
        <v>1399</v>
      </c>
      <c r="B400" s="1">
        <v>45455</v>
      </c>
      <c r="C400" t="s">
        <v>18</v>
      </c>
      <c r="D400" t="s">
        <v>16</v>
      </c>
      <c r="E400" t="s">
        <v>26</v>
      </c>
      <c r="F400" t="s">
        <v>27</v>
      </c>
      <c r="G400">
        <v>4</v>
      </c>
      <c r="H400">
        <v>5000</v>
      </c>
      <c r="I400">
        <v>6500</v>
      </c>
      <c r="J400">
        <v>1329</v>
      </c>
      <c r="K400">
        <v>24671</v>
      </c>
    </row>
    <row r="401" spans="1:11" x14ac:dyDescent="0.3">
      <c r="A401">
        <v>1400</v>
      </c>
      <c r="B401" s="1">
        <v>45397</v>
      </c>
      <c r="C401" t="s">
        <v>11</v>
      </c>
      <c r="D401" t="s">
        <v>21</v>
      </c>
      <c r="E401" t="s">
        <v>29</v>
      </c>
      <c r="F401" t="s">
        <v>27</v>
      </c>
      <c r="G401">
        <v>1</v>
      </c>
      <c r="H401">
        <v>4000</v>
      </c>
      <c r="I401">
        <v>5500</v>
      </c>
      <c r="J401">
        <v>230</v>
      </c>
      <c r="K401">
        <v>5270</v>
      </c>
    </row>
    <row r="402" spans="1:11" x14ac:dyDescent="0.3">
      <c r="A402">
        <v>1401</v>
      </c>
      <c r="B402" s="1">
        <v>45303</v>
      </c>
      <c r="C402" t="s">
        <v>11</v>
      </c>
      <c r="D402" t="s">
        <v>28</v>
      </c>
      <c r="E402" t="s">
        <v>29</v>
      </c>
      <c r="F402" t="s">
        <v>27</v>
      </c>
      <c r="G402">
        <v>1</v>
      </c>
      <c r="H402">
        <v>4000</v>
      </c>
      <c r="I402">
        <v>5500</v>
      </c>
      <c r="J402">
        <v>1000</v>
      </c>
      <c r="K402">
        <v>4500</v>
      </c>
    </row>
    <row r="403" spans="1:11" x14ac:dyDescent="0.3">
      <c r="A403">
        <v>1402</v>
      </c>
      <c r="B403" s="1">
        <v>45398</v>
      </c>
      <c r="C403" t="s">
        <v>11</v>
      </c>
      <c r="D403" t="s">
        <v>21</v>
      </c>
      <c r="E403" t="s">
        <v>13</v>
      </c>
      <c r="F403" t="s">
        <v>14</v>
      </c>
      <c r="G403">
        <v>5</v>
      </c>
      <c r="H403">
        <v>500</v>
      </c>
      <c r="I403">
        <v>800</v>
      </c>
      <c r="J403">
        <v>851</v>
      </c>
      <c r="K403">
        <v>3149</v>
      </c>
    </row>
    <row r="404" spans="1:11" x14ac:dyDescent="0.3">
      <c r="A404">
        <v>1403</v>
      </c>
      <c r="B404" s="1">
        <v>45447</v>
      </c>
      <c r="C404" t="s">
        <v>20</v>
      </c>
      <c r="D404" t="s">
        <v>28</v>
      </c>
      <c r="E404" t="s">
        <v>32</v>
      </c>
      <c r="F404" t="s">
        <v>27</v>
      </c>
      <c r="G404">
        <v>6</v>
      </c>
      <c r="H404">
        <v>20000</v>
      </c>
      <c r="I404">
        <v>25000</v>
      </c>
      <c r="J404">
        <v>1484</v>
      </c>
      <c r="K404">
        <v>148516</v>
      </c>
    </row>
    <row r="405" spans="1:11" x14ac:dyDescent="0.3">
      <c r="A405">
        <v>1404</v>
      </c>
      <c r="B405" s="1">
        <v>45433</v>
      </c>
      <c r="C405" t="s">
        <v>20</v>
      </c>
      <c r="D405" t="s">
        <v>16</v>
      </c>
      <c r="E405" t="s">
        <v>22</v>
      </c>
      <c r="F405" t="s">
        <v>14</v>
      </c>
      <c r="G405">
        <v>2</v>
      </c>
      <c r="H405">
        <v>300</v>
      </c>
      <c r="I405">
        <v>600</v>
      </c>
      <c r="J405">
        <v>1544</v>
      </c>
      <c r="K405">
        <v>-344</v>
      </c>
    </row>
    <row r="406" spans="1:11" x14ac:dyDescent="0.3">
      <c r="A406">
        <v>1405</v>
      </c>
      <c r="B406" s="1">
        <v>45442</v>
      </c>
      <c r="C406" t="s">
        <v>20</v>
      </c>
      <c r="D406" t="s">
        <v>16</v>
      </c>
      <c r="E406" t="s">
        <v>17</v>
      </c>
      <c r="F406" t="s">
        <v>14</v>
      </c>
      <c r="G406">
        <v>5</v>
      </c>
      <c r="H406">
        <v>8000</v>
      </c>
      <c r="I406">
        <v>9500</v>
      </c>
      <c r="J406">
        <v>101</v>
      </c>
      <c r="K406">
        <v>47399</v>
      </c>
    </row>
    <row r="407" spans="1:11" x14ac:dyDescent="0.3">
      <c r="A407">
        <v>1406</v>
      </c>
      <c r="B407" s="1">
        <v>45382</v>
      </c>
      <c r="C407" t="s">
        <v>11</v>
      </c>
      <c r="D407" t="s">
        <v>12</v>
      </c>
      <c r="E407" t="s">
        <v>13</v>
      </c>
      <c r="F407" t="s">
        <v>14</v>
      </c>
      <c r="G407">
        <v>4</v>
      </c>
      <c r="H407">
        <v>500</v>
      </c>
      <c r="I407">
        <v>800</v>
      </c>
      <c r="J407">
        <v>1919</v>
      </c>
      <c r="K407">
        <v>1281</v>
      </c>
    </row>
    <row r="408" spans="1:11" x14ac:dyDescent="0.3">
      <c r="A408">
        <v>1407</v>
      </c>
      <c r="B408" s="1">
        <v>45361</v>
      </c>
      <c r="C408" t="s">
        <v>11</v>
      </c>
      <c r="D408" t="s">
        <v>16</v>
      </c>
      <c r="E408" t="s">
        <v>26</v>
      </c>
      <c r="F408" t="s">
        <v>27</v>
      </c>
      <c r="G408">
        <v>6</v>
      </c>
      <c r="H408">
        <v>5000</v>
      </c>
      <c r="I408">
        <v>6500</v>
      </c>
      <c r="J408">
        <v>1995</v>
      </c>
      <c r="K408">
        <v>37005</v>
      </c>
    </row>
    <row r="409" spans="1:11" x14ac:dyDescent="0.3">
      <c r="A409">
        <v>1408</v>
      </c>
      <c r="B409" s="1">
        <v>45417</v>
      </c>
      <c r="C409" t="s">
        <v>20</v>
      </c>
      <c r="D409" t="s">
        <v>23</v>
      </c>
      <c r="E409" t="s">
        <v>29</v>
      </c>
      <c r="F409" t="s">
        <v>27</v>
      </c>
      <c r="G409">
        <v>3</v>
      </c>
      <c r="H409">
        <v>4000</v>
      </c>
      <c r="I409">
        <v>5500</v>
      </c>
      <c r="J409">
        <v>1473</v>
      </c>
      <c r="K409">
        <v>15027</v>
      </c>
    </row>
    <row r="410" spans="1:11" x14ac:dyDescent="0.3">
      <c r="A410">
        <v>1409</v>
      </c>
      <c r="B410" s="1">
        <v>45296</v>
      </c>
      <c r="C410" t="s">
        <v>11</v>
      </c>
      <c r="D410" t="s">
        <v>21</v>
      </c>
      <c r="E410" t="s">
        <v>26</v>
      </c>
      <c r="F410" t="s">
        <v>27</v>
      </c>
      <c r="G410">
        <v>1</v>
      </c>
      <c r="H410">
        <v>5000</v>
      </c>
      <c r="I410">
        <v>6500</v>
      </c>
      <c r="J410">
        <v>1056</v>
      </c>
      <c r="K410">
        <v>5444</v>
      </c>
    </row>
    <row r="411" spans="1:11" x14ac:dyDescent="0.3">
      <c r="A411">
        <v>1410</v>
      </c>
      <c r="B411" s="1">
        <v>45327</v>
      </c>
      <c r="C411" t="s">
        <v>15</v>
      </c>
      <c r="D411" t="s">
        <v>21</v>
      </c>
      <c r="E411" t="s">
        <v>32</v>
      </c>
      <c r="F411" t="s">
        <v>27</v>
      </c>
      <c r="G411">
        <v>5</v>
      </c>
      <c r="H411">
        <v>20000</v>
      </c>
      <c r="I411">
        <v>25000</v>
      </c>
      <c r="J411">
        <v>516</v>
      </c>
      <c r="K411">
        <v>124484</v>
      </c>
    </row>
    <row r="412" spans="1:11" x14ac:dyDescent="0.3">
      <c r="A412">
        <v>1411</v>
      </c>
      <c r="B412" s="1">
        <v>45415</v>
      </c>
      <c r="C412" t="s">
        <v>11</v>
      </c>
      <c r="D412" t="s">
        <v>12</v>
      </c>
      <c r="E412" t="s">
        <v>19</v>
      </c>
      <c r="F412" t="s">
        <v>14</v>
      </c>
      <c r="G412">
        <v>5</v>
      </c>
      <c r="H412">
        <v>40000</v>
      </c>
      <c r="I412">
        <v>45000</v>
      </c>
      <c r="J412">
        <v>748</v>
      </c>
      <c r="K412">
        <v>224252</v>
      </c>
    </row>
    <row r="413" spans="1:11" x14ac:dyDescent="0.3">
      <c r="A413">
        <v>1412</v>
      </c>
      <c r="B413" s="1">
        <v>45427</v>
      </c>
      <c r="C413" t="s">
        <v>11</v>
      </c>
      <c r="D413" t="s">
        <v>28</v>
      </c>
      <c r="E413" t="s">
        <v>22</v>
      </c>
      <c r="F413" t="s">
        <v>14</v>
      </c>
      <c r="G413">
        <v>5</v>
      </c>
      <c r="H413">
        <v>300</v>
      </c>
      <c r="I413">
        <v>600</v>
      </c>
      <c r="J413">
        <v>382</v>
      </c>
      <c r="K413">
        <v>2618</v>
      </c>
    </row>
    <row r="414" spans="1:11" x14ac:dyDescent="0.3">
      <c r="A414">
        <v>1413</v>
      </c>
      <c r="B414" s="1">
        <v>45297</v>
      </c>
      <c r="C414" t="s">
        <v>11</v>
      </c>
      <c r="D414" t="s">
        <v>30</v>
      </c>
      <c r="E414" t="s">
        <v>32</v>
      </c>
      <c r="F414" t="s">
        <v>27</v>
      </c>
      <c r="G414">
        <v>2</v>
      </c>
      <c r="H414">
        <v>20000</v>
      </c>
      <c r="I414">
        <v>25000</v>
      </c>
      <c r="J414">
        <v>555</v>
      </c>
      <c r="K414">
        <v>49445</v>
      </c>
    </row>
    <row r="415" spans="1:11" x14ac:dyDescent="0.3">
      <c r="A415">
        <v>1414</v>
      </c>
      <c r="B415" s="1">
        <v>45470</v>
      </c>
      <c r="C415" t="s">
        <v>20</v>
      </c>
      <c r="D415" t="s">
        <v>30</v>
      </c>
      <c r="E415" t="s">
        <v>19</v>
      </c>
      <c r="F415" t="s">
        <v>14</v>
      </c>
      <c r="G415">
        <v>1</v>
      </c>
      <c r="H415">
        <v>40000</v>
      </c>
      <c r="I415">
        <v>45000</v>
      </c>
      <c r="J415">
        <v>1994</v>
      </c>
      <c r="K415">
        <v>43006</v>
      </c>
    </row>
    <row r="416" spans="1:11" x14ac:dyDescent="0.3">
      <c r="A416">
        <v>1415</v>
      </c>
      <c r="B416" s="1">
        <v>45433</v>
      </c>
      <c r="C416" t="s">
        <v>18</v>
      </c>
      <c r="D416" t="s">
        <v>16</v>
      </c>
      <c r="E416" t="s">
        <v>19</v>
      </c>
      <c r="F416" t="s">
        <v>14</v>
      </c>
      <c r="G416">
        <v>3</v>
      </c>
      <c r="H416">
        <v>40000</v>
      </c>
      <c r="I416">
        <v>45000</v>
      </c>
      <c r="J416">
        <v>1915</v>
      </c>
      <c r="K416">
        <v>133085</v>
      </c>
    </row>
    <row r="417" spans="1:11" x14ac:dyDescent="0.3">
      <c r="A417">
        <v>1416</v>
      </c>
      <c r="B417" s="1">
        <v>45424</v>
      </c>
      <c r="C417" t="s">
        <v>20</v>
      </c>
      <c r="D417" t="s">
        <v>28</v>
      </c>
      <c r="E417" t="s">
        <v>33</v>
      </c>
      <c r="F417" t="s">
        <v>27</v>
      </c>
      <c r="G417">
        <v>5</v>
      </c>
      <c r="H417">
        <v>2000</v>
      </c>
      <c r="I417">
        <v>2500</v>
      </c>
      <c r="J417">
        <v>928</v>
      </c>
      <c r="K417">
        <v>11572</v>
      </c>
    </row>
    <row r="418" spans="1:11" x14ac:dyDescent="0.3">
      <c r="A418">
        <v>1417</v>
      </c>
      <c r="B418" s="1">
        <v>45466</v>
      </c>
      <c r="C418" t="s">
        <v>15</v>
      </c>
      <c r="D418" t="s">
        <v>30</v>
      </c>
      <c r="E418" t="s">
        <v>33</v>
      </c>
      <c r="F418" t="s">
        <v>27</v>
      </c>
      <c r="G418">
        <v>3</v>
      </c>
      <c r="H418">
        <v>2000</v>
      </c>
      <c r="I418">
        <v>2500</v>
      </c>
      <c r="J418">
        <v>803</v>
      </c>
      <c r="K418">
        <v>6697</v>
      </c>
    </row>
    <row r="419" spans="1:11" x14ac:dyDescent="0.3">
      <c r="A419">
        <v>1418</v>
      </c>
      <c r="B419" s="1">
        <v>45405</v>
      </c>
      <c r="C419" t="s">
        <v>20</v>
      </c>
      <c r="D419" t="s">
        <v>30</v>
      </c>
      <c r="E419" t="s">
        <v>31</v>
      </c>
      <c r="F419" t="s">
        <v>14</v>
      </c>
      <c r="G419">
        <v>3</v>
      </c>
      <c r="H419">
        <v>1000</v>
      </c>
      <c r="I419">
        <v>1500</v>
      </c>
      <c r="J419">
        <v>569</v>
      </c>
      <c r="K419">
        <v>3931</v>
      </c>
    </row>
    <row r="420" spans="1:11" x14ac:dyDescent="0.3">
      <c r="A420">
        <v>1419</v>
      </c>
      <c r="B420" s="1">
        <v>45385</v>
      </c>
      <c r="C420" t="s">
        <v>11</v>
      </c>
      <c r="D420" t="s">
        <v>16</v>
      </c>
      <c r="E420" t="s">
        <v>25</v>
      </c>
      <c r="F420" t="s">
        <v>14</v>
      </c>
      <c r="G420">
        <v>2</v>
      </c>
      <c r="H420">
        <v>15000</v>
      </c>
      <c r="I420">
        <v>18000</v>
      </c>
      <c r="J420">
        <v>1308</v>
      </c>
      <c r="K420">
        <v>34692</v>
      </c>
    </row>
    <row r="421" spans="1:11" x14ac:dyDescent="0.3">
      <c r="A421">
        <v>1420</v>
      </c>
      <c r="B421" s="1">
        <v>45355</v>
      </c>
      <c r="C421" t="s">
        <v>20</v>
      </c>
      <c r="D421" t="s">
        <v>28</v>
      </c>
      <c r="E421" t="s">
        <v>19</v>
      </c>
      <c r="F421" t="s">
        <v>14</v>
      </c>
      <c r="G421">
        <v>1</v>
      </c>
      <c r="H421">
        <v>40000</v>
      </c>
      <c r="I421">
        <v>45000</v>
      </c>
      <c r="J421">
        <v>563</v>
      </c>
      <c r="K421">
        <v>44437</v>
      </c>
    </row>
    <row r="422" spans="1:11" x14ac:dyDescent="0.3">
      <c r="A422">
        <v>1421</v>
      </c>
      <c r="B422" s="1">
        <v>45427</v>
      </c>
      <c r="C422" t="s">
        <v>15</v>
      </c>
      <c r="D422" t="s">
        <v>28</v>
      </c>
      <c r="E422" t="s">
        <v>26</v>
      </c>
      <c r="F422" t="s">
        <v>27</v>
      </c>
      <c r="G422">
        <v>5</v>
      </c>
      <c r="H422">
        <v>5000</v>
      </c>
      <c r="I422">
        <v>6500</v>
      </c>
      <c r="J422">
        <v>1469</v>
      </c>
      <c r="K422">
        <v>31031</v>
      </c>
    </row>
    <row r="423" spans="1:11" x14ac:dyDescent="0.3">
      <c r="A423">
        <v>1422</v>
      </c>
      <c r="B423" s="1">
        <v>45457</v>
      </c>
      <c r="C423" t="s">
        <v>18</v>
      </c>
      <c r="D423" t="s">
        <v>28</v>
      </c>
      <c r="E423" t="s">
        <v>24</v>
      </c>
      <c r="F423" t="s">
        <v>14</v>
      </c>
      <c r="G423">
        <v>1</v>
      </c>
      <c r="H423">
        <v>7000</v>
      </c>
      <c r="I423">
        <v>9000</v>
      </c>
      <c r="J423">
        <v>1528</v>
      </c>
      <c r="K423">
        <v>7472</v>
      </c>
    </row>
    <row r="424" spans="1:11" x14ac:dyDescent="0.3">
      <c r="A424">
        <v>1423</v>
      </c>
      <c r="B424" s="1">
        <v>45456</v>
      </c>
      <c r="C424" t="s">
        <v>18</v>
      </c>
      <c r="D424" t="s">
        <v>23</v>
      </c>
      <c r="E424" t="s">
        <v>33</v>
      </c>
      <c r="F424" t="s">
        <v>27</v>
      </c>
      <c r="G424">
        <v>5</v>
      </c>
      <c r="H424">
        <v>2000</v>
      </c>
      <c r="I424">
        <v>2500</v>
      </c>
      <c r="J424">
        <v>38</v>
      </c>
      <c r="K424">
        <v>12462</v>
      </c>
    </row>
    <row r="425" spans="1:11" x14ac:dyDescent="0.3">
      <c r="A425">
        <v>1424</v>
      </c>
      <c r="B425" s="1">
        <v>45341</v>
      </c>
      <c r="C425" t="s">
        <v>11</v>
      </c>
      <c r="D425" t="s">
        <v>28</v>
      </c>
      <c r="E425" t="s">
        <v>19</v>
      </c>
      <c r="F425" t="s">
        <v>14</v>
      </c>
      <c r="G425">
        <v>6</v>
      </c>
      <c r="H425">
        <v>40000</v>
      </c>
      <c r="I425">
        <v>45000</v>
      </c>
      <c r="J425">
        <v>147</v>
      </c>
      <c r="K425">
        <v>269853</v>
      </c>
    </row>
    <row r="426" spans="1:11" x14ac:dyDescent="0.3">
      <c r="A426">
        <v>1425</v>
      </c>
      <c r="B426" s="1">
        <v>45467</v>
      </c>
      <c r="C426" t="s">
        <v>18</v>
      </c>
      <c r="D426" t="s">
        <v>12</v>
      </c>
      <c r="E426" t="s">
        <v>13</v>
      </c>
      <c r="F426" t="s">
        <v>14</v>
      </c>
      <c r="G426">
        <v>5</v>
      </c>
      <c r="H426">
        <v>500</v>
      </c>
      <c r="I426">
        <v>800</v>
      </c>
      <c r="J426">
        <v>1475</v>
      </c>
      <c r="K426">
        <v>2525</v>
      </c>
    </row>
    <row r="427" spans="1:11" x14ac:dyDescent="0.3">
      <c r="A427">
        <v>1426</v>
      </c>
      <c r="B427" s="1">
        <v>45346</v>
      </c>
      <c r="C427" t="s">
        <v>18</v>
      </c>
      <c r="D427" t="s">
        <v>12</v>
      </c>
      <c r="E427" t="s">
        <v>29</v>
      </c>
      <c r="F427" t="s">
        <v>27</v>
      </c>
      <c r="G427">
        <v>5</v>
      </c>
      <c r="H427">
        <v>4000</v>
      </c>
      <c r="I427">
        <v>5500</v>
      </c>
      <c r="J427">
        <v>547</v>
      </c>
      <c r="K427">
        <v>26953</v>
      </c>
    </row>
    <row r="428" spans="1:11" x14ac:dyDescent="0.3">
      <c r="A428">
        <v>1427</v>
      </c>
      <c r="B428" s="1">
        <v>45330</v>
      </c>
      <c r="C428" t="s">
        <v>18</v>
      </c>
      <c r="D428" t="s">
        <v>21</v>
      </c>
      <c r="E428" t="s">
        <v>22</v>
      </c>
      <c r="F428" t="s">
        <v>14</v>
      </c>
      <c r="G428">
        <v>6</v>
      </c>
      <c r="H428">
        <v>300</v>
      </c>
      <c r="I428">
        <v>600</v>
      </c>
      <c r="J428">
        <v>643</v>
      </c>
      <c r="K428">
        <v>2957</v>
      </c>
    </row>
    <row r="429" spans="1:11" x14ac:dyDescent="0.3">
      <c r="A429">
        <v>1428</v>
      </c>
      <c r="B429" s="1">
        <v>45468</v>
      </c>
      <c r="C429" t="s">
        <v>20</v>
      </c>
      <c r="D429" t="s">
        <v>12</v>
      </c>
      <c r="E429" t="s">
        <v>26</v>
      </c>
      <c r="F429" t="s">
        <v>27</v>
      </c>
      <c r="G429">
        <v>5</v>
      </c>
      <c r="H429">
        <v>5000</v>
      </c>
      <c r="I429">
        <v>6500</v>
      </c>
      <c r="J429">
        <v>426</v>
      </c>
      <c r="K429">
        <v>32074</v>
      </c>
    </row>
    <row r="430" spans="1:11" x14ac:dyDescent="0.3">
      <c r="A430">
        <v>1429</v>
      </c>
      <c r="B430" s="1">
        <v>45361</v>
      </c>
      <c r="C430" t="s">
        <v>15</v>
      </c>
      <c r="D430" t="s">
        <v>16</v>
      </c>
      <c r="E430" t="s">
        <v>29</v>
      </c>
      <c r="F430" t="s">
        <v>27</v>
      </c>
      <c r="G430">
        <v>6</v>
      </c>
      <c r="H430">
        <v>4000</v>
      </c>
      <c r="I430">
        <v>5500</v>
      </c>
      <c r="J430">
        <v>1743</v>
      </c>
      <c r="K430">
        <v>31257</v>
      </c>
    </row>
    <row r="431" spans="1:11" x14ac:dyDescent="0.3">
      <c r="A431">
        <v>1430</v>
      </c>
      <c r="B431" s="1">
        <v>45394</v>
      </c>
      <c r="C431" t="s">
        <v>15</v>
      </c>
      <c r="D431" t="s">
        <v>12</v>
      </c>
      <c r="E431" t="s">
        <v>22</v>
      </c>
      <c r="F431" t="s">
        <v>14</v>
      </c>
      <c r="G431">
        <v>3</v>
      </c>
      <c r="H431">
        <v>300</v>
      </c>
      <c r="I431">
        <v>600</v>
      </c>
      <c r="J431">
        <v>565</v>
      </c>
      <c r="K431">
        <v>1235</v>
      </c>
    </row>
    <row r="432" spans="1:11" x14ac:dyDescent="0.3">
      <c r="A432">
        <v>1431</v>
      </c>
      <c r="B432" s="1">
        <v>45361</v>
      </c>
      <c r="C432" t="s">
        <v>18</v>
      </c>
      <c r="D432" t="s">
        <v>28</v>
      </c>
      <c r="E432" t="s">
        <v>32</v>
      </c>
      <c r="F432" t="s">
        <v>27</v>
      </c>
      <c r="G432">
        <v>2</v>
      </c>
      <c r="H432">
        <v>20000</v>
      </c>
      <c r="I432">
        <v>25000</v>
      </c>
      <c r="J432">
        <v>1852</v>
      </c>
      <c r="K432">
        <v>48148</v>
      </c>
    </row>
    <row r="433" spans="1:11" x14ac:dyDescent="0.3">
      <c r="A433">
        <v>1432</v>
      </c>
      <c r="B433" s="1">
        <v>45431</v>
      </c>
      <c r="C433" t="s">
        <v>11</v>
      </c>
      <c r="D433" t="s">
        <v>16</v>
      </c>
      <c r="E433" t="s">
        <v>32</v>
      </c>
      <c r="F433" t="s">
        <v>27</v>
      </c>
      <c r="G433">
        <v>6</v>
      </c>
      <c r="H433">
        <v>20000</v>
      </c>
      <c r="I433">
        <v>25000</v>
      </c>
      <c r="J433">
        <v>1468</v>
      </c>
      <c r="K433">
        <v>148532</v>
      </c>
    </row>
    <row r="434" spans="1:11" x14ac:dyDescent="0.3">
      <c r="A434">
        <v>1433</v>
      </c>
      <c r="B434" s="1">
        <v>45354</v>
      </c>
      <c r="C434" t="s">
        <v>20</v>
      </c>
      <c r="D434" t="s">
        <v>23</v>
      </c>
      <c r="E434" t="s">
        <v>13</v>
      </c>
      <c r="F434" t="s">
        <v>14</v>
      </c>
      <c r="G434">
        <v>5</v>
      </c>
      <c r="H434">
        <v>500</v>
      </c>
      <c r="I434">
        <v>800</v>
      </c>
      <c r="J434">
        <v>1394</v>
      </c>
      <c r="K434">
        <v>2606</v>
      </c>
    </row>
    <row r="435" spans="1:11" x14ac:dyDescent="0.3">
      <c r="A435">
        <v>1434</v>
      </c>
      <c r="B435" s="1">
        <v>45401</v>
      </c>
      <c r="C435" t="s">
        <v>11</v>
      </c>
      <c r="D435" t="s">
        <v>30</v>
      </c>
      <c r="E435" t="s">
        <v>22</v>
      </c>
      <c r="F435" t="s">
        <v>14</v>
      </c>
      <c r="G435">
        <v>6</v>
      </c>
      <c r="H435">
        <v>300</v>
      </c>
      <c r="I435">
        <v>600</v>
      </c>
      <c r="J435">
        <v>1151</v>
      </c>
      <c r="K435">
        <v>2449</v>
      </c>
    </row>
    <row r="436" spans="1:11" x14ac:dyDescent="0.3">
      <c r="A436">
        <v>1435</v>
      </c>
      <c r="B436" s="1">
        <v>45319</v>
      </c>
      <c r="C436" t="s">
        <v>15</v>
      </c>
      <c r="D436" t="s">
        <v>28</v>
      </c>
      <c r="E436" t="s">
        <v>24</v>
      </c>
      <c r="F436" t="s">
        <v>14</v>
      </c>
      <c r="G436">
        <v>6</v>
      </c>
      <c r="H436">
        <v>7000</v>
      </c>
      <c r="I436">
        <v>9000</v>
      </c>
      <c r="J436">
        <v>1461</v>
      </c>
      <c r="K436">
        <v>52539</v>
      </c>
    </row>
    <row r="437" spans="1:11" x14ac:dyDescent="0.3">
      <c r="A437">
        <v>1436</v>
      </c>
      <c r="B437" s="1">
        <v>45421</v>
      </c>
      <c r="C437" t="s">
        <v>20</v>
      </c>
      <c r="D437" t="s">
        <v>21</v>
      </c>
      <c r="E437" t="s">
        <v>25</v>
      </c>
      <c r="F437" t="s">
        <v>14</v>
      </c>
      <c r="G437">
        <v>5</v>
      </c>
      <c r="H437">
        <v>15000</v>
      </c>
      <c r="I437">
        <v>18000</v>
      </c>
      <c r="J437">
        <v>1780</v>
      </c>
      <c r="K437">
        <v>88220</v>
      </c>
    </row>
    <row r="438" spans="1:11" x14ac:dyDescent="0.3">
      <c r="A438">
        <v>1437</v>
      </c>
      <c r="B438" s="1">
        <v>45424</v>
      </c>
      <c r="C438" t="s">
        <v>18</v>
      </c>
      <c r="D438" t="s">
        <v>16</v>
      </c>
      <c r="E438" t="s">
        <v>19</v>
      </c>
      <c r="F438" t="s">
        <v>14</v>
      </c>
      <c r="G438">
        <v>5</v>
      </c>
      <c r="H438">
        <v>40000</v>
      </c>
      <c r="I438">
        <v>45000</v>
      </c>
      <c r="J438">
        <v>893</v>
      </c>
      <c r="K438">
        <v>224107</v>
      </c>
    </row>
    <row r="439" spans="1:11" x14ac:dyDescent="0.3">
      <c r="A439">
        <v>1438</v>
      </c>
      <c r="B439" s="1">
        <v>45328</v>
      </c>
      <c r="C439" t="s">
        <v>18</v>
      </c>
      <c r="D439" t="s">
        <v>30</v>
      </c>
      <c r="E439" t="s">
        <v>26</v>
      </c>
      <c r="F439" t="s">
        <v>27</v>
      </c>
      <c r="G439">
        <v>4</v>
      </c>
      <c r="H439">
        <v>5000</v>
      </c>
      <c r="I439">
        <v>6500</v>
      </c>
      <c r="J439">
        <v>1163</v>
      </c>
      <c r="K439">
        <v>24837</v>
      </c>
    </row>
    <row r="440" spans="1:11" x14ac:dyDescent="0.3">
      <c r="A440">
        <v>1439</v>
      </c>
      <c r="B440" s="1">
        <v>45304</v>
      </c>
      <c r="C440" t="s">
        <v>15</v>
      </c>
      <c r="D440" t="s">
        <v>21</v>
      </c>
      <c r="E440" t="s">
        <v>22</v>
      </c>
      <c r="F440" t="s">
        <v>14</v>
      </c>
      <c r="G440">
        <v>4</v>
      </c>
      <c r="H440">
        <v>300</v>
      </c>
      <c r="I440">
        <v>600</v>
      </c>
      <c r="J440">
        <v>1716</v>
      </c>
      <c r="K440">
        <v>684</v>
      </c>
    </row>
    <row r="441" spans="1:11" x14ac:dyDescent="0.3">
      <c r="A441">
        <v>1440</v>
      </c>
      <c r="B441" s="1">
        <v>45345</v>
      </c>
      <c r="C441" t="s">
        <v>20</v>
      </c>
      <c r="D441" t="s">
        <v>23</v>
      </c>
      <c r="E441" t="s">
        <v>13</v>
      </c>
      <c r="F441" t="s">
        <v>14</v>
      </c>
      <c r="G441">
        <v>5</v>
      </c>
      <c r="H441">
        <v>500</v>
      </c>
      <c r="I441">
        <v>800</v>
      </c>
      <c r="J441">
        <v>923</v>
      </c>
      <c r="K441">
        <v>3077</v>
      </c>
    </row>
    <row r="442" spans="1:11" x14ac:dyDescent="0.3">
      <c r="A442">
        <v>1441</v>
      </c>
      <c r="B442" s="1">
        <v>45365</v>
      </c>
      <c r="C442" t="s">
        <v>18</v>
      </c>
      <c r="D442" t="s">
        <v>16</v>
      </c>
      <c r="E442" t="s">
        <v>17</v>
      </c>
      <c r="F442" t="s">
        <v>14</v>
      </c>
      <c r="G442">
        <v>2</v>
      </c>
      <c r="H442">
        <v>8000</v>
      </c>
      <c r="I442">
        <v>9500</v>
      </c>
      <c r="J442">
        <v>542</v>
      </c>
      <c r="K442">
        <v>18458</v>
      </c>
    </row>
    <row r="443" spans="1:11" x14ac:dyDescent="0.3">
      <c r="A443">
        <v>1442</v>
      </c>
      <c r="B443" s="1">
        <v>45412</v>
      </c>
      <c r="C443" t="s">
        <v>20</v>
      </c>
      <c r="D443" t="s">
        <v>16</v>
      </c>
      <c r="E443" t="s">
        <v>26</v>
      </c>
      <c r="F443" t="s">
        <v>27</v>
      </c>
      <c r="G443">
        <v>3</v>
      </c>
      <c r="H443">
        <v>5000</v>
      </c>
      <c r="I443">
        <v>6500</v>
      </c>
      <c r="J443">
        <v>599</v>
      </c>
      <c r="K443">
        <v>18901</v>
      </c>
    </row>
    <row r="444" spans="1:11" x14ac:dyDescent="0.3">
      <c r="A444">
        <v>1443</v>
      </c>
      <c r="B444" s="1">
        <v>45294</v>
      </c>
      <c r="C444" t="s">
        <v>15</v>
      </c>
      <c r="D444" t="s">
        <v>23</v>
      </c>
      <c r="E444" t="s">
        <v>24</v>
      </c>
      <c r="F444" t="s">
        <v>14</v>
      </c>
      <c r="G444">
        <v>4</v>
      </c>
      <c r="H444">
        <v>7000</v>
      </c>
      <c r="I444">
        <v>9000</v>
      </c>
      <c r="J444">
        <v>567</v>
      </c>
      <c r="K444">
        <v>35433</v>
      </c>
    </row>
    <row r="445" spans="1:11" x14ac:dyDescent="0.3">
      <c r="A445">
        <v>1444</v>
      </c>
      <c r="B445" s="1">
        <v>45355</v>
      </c>
      <c r="C445" t="s">
        <v>11</v>
      </c>
      <c r="D445" t="s">
        <v>21</v>
      </c>
      <c r="E445" t="s">
        <v>22</v>
      </c>
      <c r="F445" t="s">
        <v>14</v>
      </c>
      <c r="G445">
        <v>1</v>
      </c>
      <c r="H445">
        <v>300</v>
      </c>
      <c r="I445">
        <v>600</v>
      </c>
      <c r="J445">
        <v>1481</v>
      </c>
      <c r="K445">
        <v>-881</v>
      </c>
    </row>
    <row r="446" spans="1:11" x14ac:dyDescent="0.3">
      <c r="A446">
        <v>1445</v>
      </c>
      <c r="B446" s="1">
        <v>45300</v>
      </c>
      <c r="C446" t="s">
        <v>15</v>
      </c>
      <c r="D446" t="s">
        <v>28</v>
      </c>
      <c r="E446" t="s">
        <v>29</v>
      </c>
      <c r="F446" t="s">
        <v>27</v>
      </c>
      <c r="G446">
        <v>3</v>
      </c>
      <c r="H446">
        <v>4000</v>
      </c>
      <c r="I446">
        <v>5500</v>
      </c>
      <c r="J446">
        <v>1920</v>
      </c>
      <c r="K446">
        <v>14580</v>
      </c>
    </row>
    <row r="447" spans="1:11" x14ac:dyDescent="0.3">
      <c r="A447">
        <v>1446</v>
      </c>
      <c r="B447" s="1">
        <v>45306</v>
      </c>
      <c r="C447" t="s">
        <v>20</v>
      </c>
      <c r="D447" t="s">
        <v>30</v>
      </c>
      <c r="E447" t="s">
        <v>13</v>
      </c>
      <c r="F447" t="s">
        <v>14</v>
      </c>
      <c r="G447">
        <v>4</v>
      </c>
      <c r="H447">
        <v>500</v>
      </c>
      <c r="I447">
        <v>800</v>
      </c>
      <c r="J447">
        <v>1324</v>
      </c>
      <c r="K447">
        <v>1876</v>
      </c>
    </row>
    <row r="448" spans="1:11" x14ac:dyDescent="0.3">
      <c r="A448">
        <v>1447</v>
      </c>
      <c r="B448" s="1">
        <v>45437</v>
      </c>
      <c r="C448" t="s">
        <v>15</v>
      </c>
      <c r="D448" t="s">
        <v>23</v>
      </c>
      <c r="E448" t="s">
        <v>25</v>
      </c>
      <c r="F448" t="s">
        <v>14</v>
      </c>
      <c r="G448">
        <v>6</v>
      </c>
      <c r="H448">
        <v>15000</v>
      </c>
      <c r="I448">
        <v>18000</v>
      </c>
      <c r="J448">
        <v>1333</v>
      </c>
      <c r="K448">
        <v>106667</v>
      </c>
    </row>
    <row r="449" spans="1:11" x14ac:dyDescent="0.3">
      <c r="A449">
        <v>1448</v>
      </c>
      <c r="B449" s="1">
        <v>45345</v>
      </c>
      <c r="C449" t="s">
        <v>15</v>
      </c>
      <c r="D449" t="s">
        <v>28</v>
      </c>
      <c r="E449" t="s">
        <v>13</v>
      </c>
      <c r="F449" t="s">
        <v>14</v>
      </c>
      <c r="G449">
        <v>6</v>
      </c>
      <c r="H449">
        <v>500</v>
      </c>
      <c r="I449">
        <v>800</v>
      </c>
      <c r="J449">
        <v>277</v>
      </c>
      <c r="K449">
        <v>4523</v>
      </c>
    </row>
    <row r="450" spans="1:11" x14ac:dyDescent="0.3">
      <c r="A450">
        <v>1449</v>
      </c>
      <c r="B450" s="1">
        <v>45334</v>
      </c>
      <c r="C450" t="s">
        <v>15</v>
      </c>
      <c r="D450" t="s">
        <v>12</v>
      </c>
      <c r="E450" t="s">
        <v>31</v>
      </c>
      <c r="F450" t="s">
        <v>14</v>
      </c>
      <c r="G450">
        <v>1</v>
      </c>
      <c r="H450">
        <v>1000</v>
      </c>
      <c r="I450">
        <v>1500</v>
      </c>
      <c r="J450">
        <v>1804</v>
      </c>
      <c r="K450">
        <v>-304</v>
      </c>
    </row>
    <row r="451" spans="1:11" x14ac:dyDescent="0.3">
      <c r="A451">
        <v>1450</v>
      </c>
      <c r="B451" s="1">
        <v>45338</v>
      </c>
      <c r="C451" t="s">
        <v>18</v>
      </c>
      <c r="D451" t="s">
        <v>23</v>
      </c>
      <c r="E451" t="s">
        <v>19</v>
      </c>
      <c r="F451" t="s">
        <v>14</v>
      </c>
      <c r="G451">
        <v>3</v>
      </c>
      <c r="H451">
        <v>40000</v>
      </c>
      <c r="I451">
        <v>45000</v>
      </c>
      <c r="J451">
        <v>1103</v>
      </c>
      <c r="K451">
        <v>133897</v>
      </c>
    </row>
    <row r="452" spans="1:11" x14ac:dyDescent="0.3">
      <c r="A452">
        <v>1451</v>
      </c>
      <c r="B452" s="1">
        <v>45298</v>
      </c>
      <c r="C452" t="s">
        <v>20</v>
      </c>
      <c r="D452" t="s">
        <v>30</v>
      </c>
      <c r="E452" t="s">
        <v>19</v>
      </c>
      <c r="F452" t="s">
        <v>14</v>
      </c>
      <c r="G452">
        <v>4</v>
      </c>
      <c r="H452">
        <v>40000</v>
      </c>
      <c r="I452">
        <v>45000</v>
      </c>
      <c r="J452">
        <v>295</v>
      </c>
      <c r="K452">
        <v>179705</v>
      </c>
    </row>
    <row r="453" spans="1:11" x14ac:dyDescent="0.3">
      <c r="A453">
        <v>1452</v>
      </c>
      <c r="B453" s="1">
        <v>45367</v>
      </c>
      <c r="C453" t="s">
        <v>11</v>
      </c>
      <c r="D453" t="s">
        <v>16</v>
      </c>
      <c r="E453" t="s">
        <v>19</v>
      </c>
      <c r="F453" t="s">
        <v>14</v>
      </c>
      <c r="G453">
        <v>5</v>
      </c>
      <c r="H453">
        <v>40000</v>
      </c>
      <c r="I453">
        <v>45000</v>
      </c>
      <c r="J453">
        <v>558</v>
      </c>
      <c r="K453">
        <v>224442</v>
      </c>
    </row>
    <row r="454" spans="1:11" x14ac:dyDescent="0.3">
      <c r="A454">
        <v>1453</v>
      </c>
      <c r="B454" s="1">
        <v>45394</v>
      </c>
      <c r="C454" t="s">
        <v>18</v>
      </c>
      <c r="D454" t="s">
        <v>16</v>
      </c>
      <c r="E454" t="s">
        <v>32</v>
      </c>
      <c r="F454" t="s">
        <v>27</v>
      </c>
      <c r="G454">
        <v>4</v>
      </c>
      <c r="H454">
        <v>20000</v>
      </c>
      <c r="I454">
        <v>25000</v>
      </c>
      <c r="J454">
        <v>973</v>
      </c>
      <c r="K454">
        <v>99027</v>
      </c>
    </row>
    <row r="455" spans="1:11" x14ac:dyDescent="0.3">
      <c r="A455">
        <v>1454</v>
      </c>
      <c r="B455" s="1">
        <v>45334</v>
      </c>
      <c r="C455" t="s">
        <v>20</v>
      </c>
      <c r="D455" t="s">
        <v>16</v>
      </c>
      <c r="E455" t="s">
        <v>25</v>
      </c>
      <c r="F455" t="s">
        <v>14</v>
      </c>
      <c r="G455">
        <v>3</v>
      </c>
      <c r="H455">
        <v>15000</v>
      </c>
      <c r="I455">
        <v>18000</v>
      </c>
      <c r="J455">
        <v>1480</v>
      </c>
      <c r="K455">
        <v>52520</v>
      </c>
    </row>
    <row r="456" spans="1:11" x14ac:dyDescent="0.3">
      <c r="A456">
        <v>1455</v>
      </c>
      <c r="B456" s="1">
        <v>45405</v>
      </c>
      <c r="C456" t="s">
        <v>11</v>
      </c>
      <c r="D456" t="s">
        <v>12</v>
      </c>
      <c r="E456" t="s">
        <v>31</v>
      </c>
      <c r="F456" t="s">
        <v>14</v>
      </c>
      <c r="G456">
        <v>5</v>
      </c>
      <c r="H456">
        <v>1000</v>
      </c>
      <c r="I456">
        <v>1500</v>
      </c>
      <c r="J456">
        <v>903</v>
      </c>
      <c r="K456">
        <v>6597</v>
      </c>
    </row>
    <row r="457" spans="1:11" x14ac:dyDescent="0.3">
      <c r="A457">
        <v>1456</v>
      </c>
      <c r="B457" s="1">
        <v>45449</v>
      </c>
      <c r="C457" t="s">
        <v>15</v>
      </c>
      <c r="D457" t="s">
        <v>12</v>
      </c>
      <c r="E457" t="s">
        <v>32</v>
      </c>
      <c r="F457" t="s">
        <v>27</v>
      </c>
      <c r="G457">
        <v>1</v>
      </c>
      <c r="H457">
        <v>20000</v>
      </c>
      <c r="I457">
        <v>25000</v>
      </c>
      <c r="J457">
        <v>249</v>
      </c>
      <c r="K457">
        <v>24751</v>
      </c>
    </row>
    <row r="458" spans="1:11" x14ac:dyDescent="0.3">
      <c r="A458">
        <v>1457</v>
      </c>
      <c r="B458" s="1">
        <v>45333</v>
      </c>
      <c r="C458" t="s">
        <v>15</v>
      </c>
      <c r="D458" t="s">
        <v>21</v>
      </c>
      <c r="E458" t="s">
        <v>22</v>
      </c>
      <c r="F458" t="s">
        <v>14</v>
      </c>
      <c r="G458">
        <v>5</v>
      </c>
      <c r="H458">
        <v>300</v>
      </c>
      <c r="I458">
        <v>600</v>
      </c>
      <c r="J458">
        <v>407</v>
      </c>
      <c r="K458">
        <v>2593</v>
      </c>
    </row>
    <row r="459" spans="1:11" x14ac:dyDescent="0.3">
      <c r="A459">
        <v>1458</v>
      </c>
      <c r="B459" s="1">
        <v>45339</v>
      </c>
      <c r="C459" t="s">
        <v>20</v>
      </c>
      <c r="D459" t="s">
        <v>23</v>
      </c>
      <c r="E459" t="s">
        <v>31</v>
      </c>
      <c r="F459" t="s">
        <v>14</v>
      </c>
      <c r="G459">
        <v>4</v>
      </c>
      <c r="H459">
        <v>1000</v>
      </c>
      <c r="I459">
        <v>1500</v>
      </c>
      <c r="J459">
        <v>1974</v>
      </c>
      <c r="K459">
        <v>4026</v>
      </c>
    </row>
    <row r="460" spans="1:11" x14ac:dyDescent="0.3">
      <c r="A460">
        <v>1459</v>
      </c>
      <c r="B460" s="1">
        <v>45450</v>
      </c>
      <c r="C460" t="s">
        <v>11</v>
      </c>
      <c r="D460" t="s">
        <v>28</v>
      </c>
      <c r="E460" t="s">
        <v>19</v>
      </c>
      <c r="F460" t="s">
        <v>14</v>
      </c>
      <c r="G460">
        <v>5</v>
      </c>
      <c r="H460">
        <v>40000</v>
      </c>
      <c r="I460">
        <v>45000</v>
      </c>
      <c r="J460">
        <v>1180</v>
      </c>
      <c r="K460">
        <v>223820</v>
      </c>
    </row>
    <row r="461" spans="1:11" x14ac:dyDescent="0.3">
      <c r="A461">
        <v>1460</v>
      </c>
      <c r="B461" s="1">
        <v>45446</v>
      </c>
      <c r="C461" t="s">
        <v>15</v>
      </c>
      <c r="D461" t="s">
        <v>12</v>
      </c>
      <c r="E461" t="s">
        <v>19</v>
      </c>
      <c r="F461" t="s">
        <v>14</v>
      </c>
      <c r="G461">
        <v>2</v>
      </c>
      <c r="H461">
        <v>40000</v>
      </c>
      <c r="I461">
        <v>45000</v>
      </c>
      <c r="J461">
        <v>1171</v>
      </c>
      <c r="K461">
        <v>88829</v>
      </c>
    </row>
    <row r="462" spans="1:11" x14ac:dyDescent="0.3">
      <c r="A462">
        <v>1461</v>
      </c>
      <c r="B462" s="1">
        <v>45365</v>
      </c>
      <c r="C462" t="s">
        <v>20</v>
      </c>
      <c r="D462" t="s">
        <v>21</v>
      </c>
      <c r="E462" t="s">
        <v>13</v>
      </c>
      <c r="F462" t="s">
        <v>14</v>
      </c>
      <c r="G462">
        <v>2</v>
      </c>
      <c r="H462">
        <v>500</v>
      </c>
      <c r="I462">
        <v>800</v>
      </c>
      <c r="J462">
        <v>1731</v>
      </c>
      <c r="K462">
        <v>-131</v>
      </c>
    </row>
    <row r="463" spans="1:11" x14ac:dyDescent="0.3">
      <c r="A463">
        <v>1462</v>
      </c>
      <c r="B463" s="1">
        <v>45457</v>
      </c>
      <c r="C463" t="s">
        <v>18</v>
      </c>
      <c r="D463" t="s">
        <v>30</v>
      </c>
      <c r="E463" t="s">
        <v>31</v>
      </c>
      <c r="F463" t="s">
        <v>14</v>
      </c>
      <c r="G463">
        <v>6</v>
      </c>
      <c r="H463">
        <v>1000</v>
      </c>
      <c r="I463">
        <v>1500</v>
      </c>
      <c r="J463">
        <v>1031</v>
      </c>
      <c r="K463">
        <v>7969</v>
      </c>
    </row>
    <row r="464" spans="1:11" x14ac:dyDescent="0.3">
      <c r="A464">
        <v>1463</v>
      </c>
      <c r="B464" s="1">
        <v>45428</v>
      </c>
      <c r="C464" t="s">
        <v>20</v>
      </c>
      <c r="D464" t="s">
        <v>21</v>
      </c>
      <c r="E464" t="s">
        <v>26</v>
      </c>
      <c r="F464" t="s">
        <v>27</v>
      </c>
      <c r="G464">
        <v>5</v>
      </c>
      <c r="H464">
        <v>5000</v>
      </c>
      <c r="I464">
        <v>6500</v>
      </c>
      <c r="J464">
        <v>1133</v>
      </c>
      <c r="K464">
        <v>31367</v>
      </c>
    </row>
    <row r="465" spans="1:11" x14ac:dyDescent="0.3">
      <c r="A465">
        <v>1464</v>
      </c>
      <c r="B465" s="1">
        <v>45319</v>
      </c>
      <c r="C465" t="s">
        <v>15</v>
      </c>
      <c r="D465" t="s">
        <v>30</v>
      </c>
      <c r="E465" t="s">
        <v>24</v>
      </c>
      <c r="F465" t="s">
        <v>14</v>
      </c>
      <c r="G465">
        <v>3</v>
      </c>
      <c r="H465">
        <v>7000</v>
      </c>
      <c r="I465">
        <v>9000</v>
      </c>
      <c r="J465">
        <v>1780</v>
      </c>
      <c r="K465">
        <v>25220</v>
      </c>
    </row>
    <row r="466" spans="1:11" x14ac:dyDescent="0.3">
      <c r="A466">
        <v>1465</v>
      </c>
      <c r="B466" s="1">
        <v>45450</v>
      </c>
      <c r="C466" t="s">
        <v>11</v>
      </c>
      <c r="D466" t="s">
        <v>21</v>
      </c>
      <c r="E466" t="s">
        <v>17</v>
      </c>
      <c r="F466" t="s">
        <v>14</v>
      </c>
      <c r="G466">
        <v>4</v>
      </c>
      <c r="H466">
        <v>8000</v>
      </c>
      <c r="I466">
        <v>9500</v>
      </c>
      <c r="J466">
        <v>984</v>
      </c>
      <c r="K466">
        <v>37016</v>
      </c>
    </row>
    <row r="467" spans="1:11" x14ac:dyDescent="0.3">
      <c r="A467">
        <v>1466</v>
      </c>
      <c r="B467" s="1">
        <v>45445</v>
      </c>
      <c r="C467" t="s">
        <v>18</v>
      </c>
      <c r="D467" t="s">
        <v>30</v>
      </c>
      <c r="E467" t="s">
        <v>22</v>
      </c>
      <c r="F467" t="s">
        <v>14</v>
      </c>
      <c r="G467">
        <v>4</v>
      </c>
      <c r="H467">
        <v>300</v>
      </c>
      <c r="I467">
        <v>600</v>
      </c>
      <c r="J467">
        <v>639</v>
      </c>
      <c r="K467">
        <v>1761</v>
      </c>
    </row>
    <row r="468" spans="1:11" x14ac:dyDescent="0.3">
      <c r="A468">
        <v>1467</v>
      </c>
      <c r="B468" s="1">
        <v>45421</v>
      </c>
      <c r="C468" t="s">
        <v>11</v>
      </c>
      <c r="D468" t="s">
        <v>21</v>
      </c>
      <c r="E468" t="s">
        <v>24</v>
      </c>
      <c r="F468" t="s">
        <v>14</v>
      </c>
      <c r="G468">
        <v>5</v>
      </c>
      <c r="H468">
        <v>7000</v>
      </c>
      <c r="I468">
        <v>9000</v>
      </c>
      <c r="J468">
        <v>356</v>
      </c>
      <c r="K468">
        <v>44644</v>
      </c>
    </row>
    <row r="469" spans="1:11" x14ac:dyDescent="0.3">
      <c r="A469">
        <v>1468</v>
      </c>
      <c r="B469" s="1">
        <v>45351</v>
      </c>
      <c r="C469" t="s">
        <v>18</v>
      </c>
      <c r="D469" t="s">
        <v>30</v>
      </c>
      <c r="E469" t="s">
        <v>29</v>
      </c>
      <c r="F469" t="s">
        <v>27</v>
      </c>
      <c r="G469">
        <v>3</v>
      </c>
      <c r="H469">
        <v>4000</v>
      </c>
      <c r="I469">
        <v>5500</v>
      </c>
      <c r="J469">
        <v>1230</v>
      </c>
      <c r="K469">
        <v>15270</v>
      </c>
    </row>
    <row r="470" spans="1:11" x14ac:dyDescent="0.3">
      <c r="A470">
        <v>1469</v>
      </c>
      <c r="B470" s="1">
        <v>45440</v>
      </c>
      <c r="C470" t="s">
        <v>15</v>
      </c>
      <c r="D470" t="s">
        <v>21</v>
      </c>
      <c r="E470" t="s">
        <v>22</v>
      </c>
      <c r="F470" t="s">
        <v>14</v>
      </c>
      <c r="G470">
        <v>3</v>
      </c>
      <c r="H470">
        <v>300</v>
      </c>
      <c r="I470">
        <v>600</v>
      </c>
      <c r="J470">
        <v>1487</v>
      </c>
      <c r="K470">
        <v>313</v>
      </c>
    </row>
    <row r="471" spans="1:11" x14ac:dyDescent="0.3">
      <c r="A471">
        <v>1470</v>
      </c>
      <c r="B471" s="1">
        <v>45471</v>
      </c>
      <c r="C471" t="s">
        <v>18</v>
      </c>
      <c r="D471" t="s">
        <v>16</v>
      </c>
      <c r="E471" t="s">
        <v>32</v>
      </c>
      <c r="F471" t="s">
        <v>27</v>
      </c>
      <c r="G471">
        <v>1</v>
      </c>
      <c r="H471">
        <v>20000</v>
      </c>
      <c r="I471">
        <v>25000</v>
      </c>
      <c r="J471">
        <v>972</v>
      </c>
      <c r="K471">
        <v>24028</v>
      </c>
    </row>
    <row r="472" spans="1:11" x14ac:dyDescent="0.3">
      <c r="A472">
        <v>1471</v>
      </c>
      <c r="B472" s="1">
        <v>45472</v>
      </c>
      <c r="C472" t="s">
        <v>20</v>
      </c>
      <c r="D472" t="s">
        <v>23</v>
      </c>
      <c r="E472" t="s">
        <v>31</v>
      </c>
      <c r="F472" t="s">
        <v>14</v>
      </c>
      <c r="G472">
        <v>1</v>
      </c>
      <c r="H472">
        <v>1000</v>
      </c>
      <c r="I472">
        <v>1500</v>
      </c>
      <c r="J472">
        <v>19</v>
      </c>
      <c r="K472">
        <v>1481</v>
      </c>
    </row>
    <row r="473" spans="1:11" x14ac:dyDescent="0.3">
      <c r="A473">
        <v>1472</v>
      </c>
      <c r="B473" s="1">
        <v>45315</v>
      </c>
      <c r="C473" t="s">
        <v>15</v>
      </c>
      <c r="D473" t="s">
        <v>16</v>
      </c>
      <c r="E473" t="s">
        <v>13</v>
      </c>
      <c r="F473" t="s">
        <v>14</v>
      </c>
      <c r="G473">
        <v>1</v>
      </c>
      <c r="H473">
        <v>500</v>
      </c>
      <c r="I473">
        <v>800</v>
      </c>
      <c r="J473">
        <v>1913</v>
      </c>
      <c r="K473">
        <v>-1113</v>
      </c>
    </row>
    <row r="474" spans="1:11" x14ac:dyDescent="0.3">
      <c r="A474">
        <v>1473</v>
      </c>
      <c r="B474" s="1">
        <v>45378</v>
      </c>
      <c r="C474" t="s">
        <v>11</v>
      </c>
      <c r="D474" t="s">
        <v>28</v>
      </c>
      <c r="E474" t="s">
        <v>29</v>
      </c>
      <c r="F474" t="s">
        <v>27</v>
      </c>
      <c r="G474">
        <v>2</v>
      </c>
      <c r="H474">
        <v>4000</v>
      </c>
      <c r="I474">
        <v>5500</v>
      </c>
      <c r="J474">
        <v>283</v>
      </c>
      <c r="K474">
        <v>10717</v>
      </c>
    </row>
    <row r="475" spans="1:11" x14ac:dyDescent="0.3">
      <c r="A475">
        <v>1474</v>
      </c>
      <c r="B475" s="1">
        <v>45336</v>
      </c>
      <c r="C475" t="s">
        <v>20</v>
      </c>
      <c r="D475" t="s">
        <v>21</v>
      </c>
      <c r="E475" t="s">
        <v>33</v>
      </c>
      <c r="F475" t="s">
        <v>27</v>
      </c>
      <c r="G475">
        <v>2</v>
      </c>
      <c r="H475">
        <v>2000</v>
      </c>
      <c r="I475">
        <v>2500</v>
      </c>
      <c r="J475">
        <v>428</v>
      </c>
      <c r="K475">
        <v>4572</v>
      </c>
    </row>
    <row r="476" spans="1:11" x14ac:dyDescent="0.3">
      <c r="A476">
        <v>1475</v>
      </c>
      <c r="B476" s="1">
        <v>45301</v>
      </c>
      <c r="C476" t="s">
        <v>11</v>
      </c>
      <c r="D476" t="s">
        <v>16</v>
      </c>
      <c r="E476" t="s">
        <v>24</v>
      </c>
      <c r="F476" t="s">
        <v>14</v>
      </c>
      <c r="G476">
        <v>1</v>
      </c>
      <c r="H476">
        <v>7000</v>
      </c>
      <c r="I476">
        <v>9000</v>
      </c>
      <c r="J476">
        <v>1473</v>
      </c>
      <c r="K476">
        <v>7527</v>
      </c>
    </row>
    <row r="477" spans="1:11" x14ac:dyDescent="0.3">
      <c r="A477">
        <v>1476</v>
      </c>
      <c r="B477" s="1">
        <v>45342</v>
      </c>
      <c r="C477" t="s">
        <v>20</v>
      </c>
      <c r="D477" t="s">
        <v>23</v>
      </c>
      <c r="E477" t="s">
        <v>24</v>
      </c>
      <c r="F477" t="s">
        <v>14</v>
      </c>
      <c r="G477">
        <v>1</v>
      </c>
      <c r="H477">
        <v>7000</v>
      </c>
      <c r="I477">
        <v>9000</v>
      </c>
      <c r="J477">
        <v>1136</v>
      </c>
      <c r="K477">
        <v>7864</v>
      </c>
    </row>
    <row r="478" spans="1:11" x14ac:dyDescent="0.3">
      <c r="A478">
        <v>1477</v>
      </c>
      <c r="B478" s="1">
        <v>45390</v>
      </c>
      <c r="C478" t="s">
        <v>20</v>
      </c>
      <c r="D478" t="s">
        <v>28</v>
      </c>
      <c r="E478" t="s">
        <v>17</v>
      </c>
      <c r="F478" t="s">
        <v>14</v>
      </c>
      <c r="G478">
        <v>3</v>
      </c>
      <c r="H478">
        <v>8000</v>
      </c>
      <c r="I478">
        <v>9500</v>
      </c>
      <c r="J478">
        <v>687</v>
      </c>
      <c r="K478">
        <v>27813</v>
      </c>
    </row>
    <row r="479" spans="1:11" x14ac:dyDescent="0.3">
      <c r="A479">
        <v>1478</v>
      </c>
      <c r="B479" s="1">
        <v>45395</v>
      </c>
      <c r="C479" t="s">
        <v>11</v>
      </c>
      <c r="D479" t="s">
        <v>12</v>
      </c>
      <c r="E479" t="s">
        <v>24</v>
      </c>
      <c r="F479" t="s">
        <v>14</v>
      </c>
      <c r="G479">
        <v>6</v>
      </c>
      <c r="H479">
        <v>7000</v>
      </c>
      <c r="I479">
        <v>9000</v>
      </c>
      <c r="J479">
        <v>1525</v>
      </c>
      <c r="K479">
        <v>52475</v>
      </c>
    </row>
    <row r="480" spans="1:11" x14ac:dyDescent="0.3">
      <c r="A480">
        <v>1479</v>
      </c>
      <c r="B480" s="1">
        <v>45372</v>
      </c>
      <c r="C480" t="s">
        <v>11</v>
      </c>
      <c r="D480" t="s">
        <v>30</v>
      </c>
      <c r="E480" t="s">
        <v>29</v>
      </c>
      <c r="F480" t="s">
        <v>27</v>
      </c>
      <c r="G480">
        <v>2</v>
      </c>
      <c r="H480">
        <v>4000</v>
      </c>
      <c r="I480">
        <v>5500</v>
      </c>
      <c r="J480">
        <v>1419</v>
      </c>
      <c r="K480">
        <v>9581</v>
      </c>
    </row>
    <row r="481" spans="1:11" x14ac:dyDescent="0.3">
      <c r="A481">
        <v>1480</v>
      </c>
      <c r="B481" s="1">
        <v>45371</v>
      </c>
      <c r="C481" t="s">
        <v>11</v>
      </c>
      <c r="D481" t="s">
        <v>16</v>
      </c>
      <c r="E481" t="s">
        <v>17</v>
      </c>
      <c r="F481" t="s">
        <v>14</v>
      </c>
      <c r="G481">
        <v>5</v>
      </c>
      <c r="H481">
        <v>8000</v>
      </c>
      <c r="I481">
        <v>9500</v>
      </c>
      <c r="J481">
        <v>1222</v>
      </c>
      <c r="K481">
        <v>46278</v>
      </c>
    </row>
    <row r="482" spans="1:11" x14ac:dyDescent="0.3">
      <c r="A482">
        <v>1481</v>
      </c>
      <c r="B482" s="1">
        <v>45295</v>
      </c>
      <c r="C482" t="s">
        <v>18</v>
      </c>
      <c r="D482" t="s">
        <v>12</v>
      </c>
      <c r="E482" t="s">
        <v>26</v>
      </c>
      <c r="F482" t="s">
        <v>27</v>
      </c>
      <c r="G482">
        <v>1</v>
      </c>
      <c r="H482">
        <v>5000</v>
      </c>
      <c r="I482">
        <v>6500</v>
      </c>
      <c r="J482">
        <v>30</v>
      </c>
      <c r="K482">
        <v>6470</v>
      </c>
    </row>
    <row r="483" spans="1:11" x14ac:dyDescent="0.3">
      <c r="A483">
        <v>1482</v>
      </c>
      <c r="B483" s="1">
        <v>45304</v>
      </c>
      <c r="C483" t="s">
        <v>11</v>
      </c>
      <c r="D483" t="s">
        <v>23</v>
      </c>
      <c r="E483" t="s">
        <v>24</v>
      </c>
      <c r="F483" t="s">
        <v>14</v>
      </c>
      <c r="G483">
        <v>4</v>
      </c>
      <c r="H483">
        <v>7000</v>
      </c>
      <c r="I483">
        <v>9000</v>
      </c>
      <c r="J483">
        <v>192</v>
      </c>
      <c r="K483">
        <v>35808</v>
      </c>
    </row>
    <row r="484" spans="1:11" x14ac:dyDescent="0.3">
      <c r="A484">
        <v>1483</v>
      </c>
      <c r="B484" s="1">
        <v>45423</v>
      </c>
      <c r="C484" t="s">
        <v>11</v>
      </c>
      <c r="D484" t="s">
        <v>16</v>
      </c>
      <c r="E484" t="s">
        <v>19</v>
      </c>
      <c r="F484" t="s">
        <v>14</v>
      </c>
      <c r="G484">
        <v>3</v>
      </c>
      <c r="H484">
        <v>40000</v>
      </c>
      <c r="I484">
        <v>45000</v>
      </c>
      <c r="J484">
        <v>648</v>
      </c>
      <c r="K484">
        <v>134352</v>
      </c>
    </row>
    <row r="485" spans="1:11" x14ac:dyDescent="0.3">
      <c r="A485">
        <v>1484</v>
      </c>
      <c r="B485" s="1">
        <v>45344</v>
      </c>
      <c r="C485" t="s">
        <v>15</v>
      </c>
      <c r="D485" t="s">
        <v>23</v>
      </c>
      <c r="E485" t="s">
        <v>33</v>
      </c>
      <c r="F485" t="s">
        <v>27</v>
      </c>
      <c r="G485">
        <v>4</v>
      </c>
      <c r="H485">
        <v>2000</v>
      </c>
      <c r="I485">
        <v>2500</v>
      </c>
      <c r="J485">
        <v>1873</v>
      </c>
      <c r="K485">
        <v>8127</v>
      </c>
    </row>
    <row r="486" spans="1:11" x14ac:dyDescent="0.3">
      <c r="A486">
        <v>1485</v>
      </c>
      <c r="B486" s="1">
        <v>45349</v>
      </c>
      <c r="C486" t="s">
        <v>11</v>
      </c>
      <c r="D486" t="s">
        <v>30</v>
      </c>
      <c r="E486" t="s">
        <v>32</v>
      </c>
      <c r="F486" t="s">
        <v>27</v>
      </c>
      <c r="G486">
        <v>5</v>
      </c>
      <c r="H486">
        <v>20000</v>
      </c>
      <c r="I486">
        <v>25000</v>
      </c>
      <c r="J486">
        <v>241</v>
      </c>
      <c r="K486">
        <v>124759</v>
      </c>
    </row>
    <row r="487" spans="1:11" x14ac:dyDescent="0.3">
      <c r="A487">
        <v>1486</v>
      </c>
      <c r="B487" s="1">
        <v>45427</v>
      </c>
      <c r="C487" t="s">
        <v>20</v>
      </c>
      <c r="D487" t="s">
        <v>30</v>
      </c>
      <c r="E487" t="s">
        <v>31</v>
      </c>
      <c r="F487" t="s">
        <v>14</v>
      </c>
      <c r="G487">
        <v>1</v>
      </c>
      <c r="H487">
        <v>1000</v>
      </c>
      <c r="I487">
        <v>1500</v>
      </c>
      <c r="J487">
        <v>321</v>
      </c>
      <c r="K487">
        <v>1179</v>
      </c>
    </row>
    <row r="488" spans="1:11" x14ac:dyDescent="0.3">
      <c r="A488">
        <v>1487</v>
      </c>
      <c r="B488" s="1">
        <v>45321</v>
      </c>
      <c r="C488" t="s">
        <v>18</v>
      </c>
      <c r="D488" t="s">
        <v>28</v>
      </c>
      <c r="E488" t="s">
        <v>29</v>
      </c>
      <c r="F488" t="s">
        <v>27</v>
      </c>
      <c r="G488">
        <v>2</v>
      </c>
      <c r="H488">
        <v>4000</v>
      </c>
      <c r="I488">
        <v>5500</v>
      </c>
      <c r="J488">
        <v>869</v>
      </c>
      <c r="K488">
        <v>10131</v>
      </c>
    </row>
    <row r="489" spans="1:11" x14ac:dyDescent="0.3">
      <c r="A489">
        <v>1488</v>
      </c>
      <c r="B489" s="1">
        <v>45341</v>
      </c>
      <c r="C489" t="s">
        <v>18</v>
      </c>
      <c r="D489" t="s">
        <v>23</v>
      </c>
      <c r="E489" t="s">
        <v>25</v>
      </c>
      <c r="F489" t="s">
        <v>14</v>
      </c>
      <c r="G489">
        <v>3</v>
      </c>
      <c r="H489">
        <v>15000</v>
      </c>
      <c r="I489">
        <v>18000</v>
      </c>
      <c r="J489">
        <v>1600</v>
      </c>
      <c r="K489">
        <v>52400</v>
      </c>
    </row>
    <row r="490" spans="1:11" x14ac:dyDescent="0.3">
      <c r="A490">
        <v>1489</v>
      </c>
      <c r="B490" s="1">
        <v>45373</v>
      </c>
      <c r="C490" t="s">
        <v>11</v>
      </c>
      <c r="D490" t="s">
        <v>12</v>
      </c>
      <c r="E490" t="s">
        <v>22</v>
      </c>
      <c r="F490" t="s">
        <v>14</v>
      </c>
      <c r="G490">
        <v>6</v>
      </c>
      <c r="H490">
        <v>300</v>
      </c>
      <c r="I490">
        <v>600</v>
      </c>
      <c r="J490">
        <v>503</v>
      </c>
      <c r="K490">
        <v>3097</v>
      </c>
    </row>
    <row r="491" spans="1:11" x14ac:dyDescent="0.3">
      <c r="A491">
        <v>1490</v>
      </c>
      <c r="B491" s="1">
        <v>45461</v>
      </c>
      <c r="C491" t="s">
        <v>20</v>
      </c>
      <c r="D491" t="s">
        <v>12</v>
      </c>
      <c r="E491" t="s">
        <v>31</v>
      </c>
      <c r="F491" t="s">
        <v>14</v>
      </c>
      <c r="G491">
        <v>6</v>
      </c>
      <c r="H491">
        <v>1000</v>
      </c>
      <c r="I491">
        <v>1500</v>
      </c>
      <c r="J491">
        <v>1641</v>
      </c>
      <c r="K491">
        <v>7359</v>
      </c>
    </row>
    <row r="492" spans="1:11" x14ac:dyDescent="0.3">
      <c r="A492">
        <v>1491</v>
      </c>
      <c r="B492" s="1">
        <v>45399</v>
      </c>
      <c r="C492" t="s">
        <v>20</v>
      </c>
      <c r="D492" t="s">
        <v>23</v>
      </c>
      <c r="E492" t="s">
        <v>29</v>
      </c>
      <c r="F492" t="s">
        <v>27</v>
      </c>
      <c r="G492">
        <v>1</v>
      </c>
      <c r="H492">
        <v>4000</v>
      </c>
      <c r="I492">
        <v>5500</v>
      </c>
      <c r="J492">
        <v>547</v>
      </c>
      <c r="K492">
        <v>4953</v>
      </c>
    </row>
    <row r="493" spans="1:11" x14ac:dyDescent="0.3">
      <c r="A493">
        <v>1492</v>
      </c>
      <c r="B493" s="1">
        <v>45359</v>
      </c>
      <c r="C493" t="s">
        <v>18</v>
      </c>
      <c r="D493" t="s">
        <v>23</v>
      </c>
      <c r="E493" t="s">
        <v>29</v>
      </c>
      <c r="F493" t="s">
        <v>27</v>
      </c>
      <c r="G493">
        <v>2</v>
      </c>
      <c r="H493">
        <v>4000</v>
      </c>
      <c r="I493">
        <v>5500</v>
      </c>
      <c r="J493">
        <v>1758</v>
      </c>
      <c r="K493">
        <v>9242</v>
      </c>
    </row>
    <row r="494" spans="1:11" x14ac:dyDescent="0.3">
      <c r="A494">
        <v>1493</v>
      </c>
      <c r="B494" s="1">
        <v>45379</v>
      </c>
      <c r="C494" t="s">
        <v>18</v>
      </c>
      <c r="D494" t="s">
        <v>16</v>
      </c>
      <c r="E494" t="s">
        <v>17</v>
      </c>
      <c r="F494" t="s">
        <v>14</v>
      </c>
      <c r="G494">
        <v>6</v>
      </c>
      <c r="H494">
        <v>8000</v>
      </c>
      <c r="I494">
        <v>9500</v>
      </c>
      <c r="J494">
        <v>183</v>
      </c>
      <c r="K494">
        <v>56817</v>
      </c>
    </row>
    <row r="495" spans="1:11" x14ac:dyDescent="0.3">
      <c r="A495">
        <v>1494</v>
      </c>
      <c r="B495" s="1">
        <v>45298</v>
      </c>
      <c r="C495" t="s">
        <v>18</v>
      </c>
      <c r="D495" t="s">
        <v>23</v>
      </c>
      <c r="E495" t="s">
        <v>24</v>
      </c>
      <c r="F495" t="s">
        <v>14</v>
      </c>
      <c r="G495">
        <v>4</v>
      </c>
      <c r="H495">
        <v>7000</v>
      </c>
      <c r="I495">
        <v>9000</v>
      </c>
      <c r="J495">
        <v>620</v>
      </c>
      <c r="K495">
        <v>35380</v>
      </c>
    </row>
    <row r="496" spans="1:11" x14ac:dyDescent="0.3">
      <c r="A496">
        <v>1495</v>
      </c>
      <c r="B496" s="1">
        <v>45459</v>
      </c>
      <c r="C496" t="s">
        <v>11</v>
      </c>
      <c r="D496" t="s">
        <v>21</v>
      </c>
      <c r="E496" t="s">
        <v>31</v>
      </c>
      <c r="F496" t="s">
        <v>14</v>
      </c>
      <c r="G496">
        <v>1</v>
      </c>
      <c r="H496">
        <v>1000</v>
      </c>
      <c r="I496">
        <v>1500</v>
      </c>
      <c r="J496">
        <v>1670</v>
      </c>
      <c r="K496">
        <v>-170</v>
      </c>
    </row>
    <row r="497" spans="1:11" x14ac:dyDescent="0.3">
      <c r="A497">
        <v>1496</v>
      </c>
      <c r="B497" s="1">
        <v>45408</v>
      </c>
      <c r="C497" t="s">
        <v>20</v>
      </c>
      <c r="D497" t="s">
        <v>28</v>
      </c>
      <c r="E497" t="s">
        <v>19</v>
      </c>
      <c r="F497" t="s">
        <v>14</v>
      </c>
      <c r="G497">
        <v>4</v>
      </c>
      <c r="H497">
        <v>40000</v>
      </c>
      <c r="I497">
        <v>45000</v>
      </c>
      <c r="J497">
        <v>839</v>
      </c>
      <c r="K497">
        <v>179161</v>
      </c>
    </row>
    <row r="498" spans="1:11" x14ac:dyDescent="0.3">
      <c r="A498">
        <v>1497</v>
      </c>
      <c r="B498" s="1">
        <v>45360</v>
      </c>
      <c r="C498" t="s">
        <v>15</v>
      </c>
      <c r="D498" t="s">
        <v>28</v>
      </c>
      <c r="E498" t="s">
        <v>19</v>
      </c>
      <c r="F498" t="s">
        <v>14</v>
      </c>
      <c r="G498">
        <v>2</v>
      </c>
      <c r="H498">
        <v>40000</v>
      </c>
      <c r="I498">
        <v>45000</v>
      </c>
      <c r="J498">
        <v>450</v>
      </c>
      <c r="K498">
        <v>89550</v>
      </c>
    </row>
    <row r="499" spans="1:11" x14ac:dyDescent="0.3">
      <c r="A499">
        <v>1498</v>
      </c>
      <c r="B499" s="1">
        <v>45325</v>
      </c>
      <c r="C499" t="s">
        <v>15</v>
      </c>
      <c r="D499" t="s">
        <v>23</v>
      </c>
      <c r="E499" t="s">
        <v>22</v>
      </c>
      <c r="F499" t="s">
        <v>14</v>
      </c>
      <c r="G499">
        <v>1</v>
      </c>
      <c r="H499">
        <v>300</v>
      </c>
      <c r="I499">
        <v>600</v>
      </c>
      <c r="J499">
        <v>444</v>
      </c>
      <c r="K499">
        <v>156</v>
      </c>
    </row>
    <row r="500" spans="1:11" x14ac:dyDescent="0.3">
      <c r="A500">
        <v>1499</v>
      </c>
      <c r="B500" s="1">
        <v>45423</v>
      </c>
      <c r="C500" t="s">
        <v>18</v>
      </c>
      <c r="D500" t="s">
        <v>30</v>
      </c>
      <c r="E500" t="s">
        <v>26</v>
      </c>
      <c r="F500" t="s">
        <v>27</v>
      </c>
      <c r="G500">
        <v>3</v>
      </c>
      <c r="H500">
        <v>5000</v>
      </c>
      <c r="I500">
        <v>6500</v>
      </c>
      <c r="J500">
        <v>90</v>
      </c>
      <c r="K500">
        <v>19410</v>
      </c>
    </row>
    <row r="501" spans="1:11" x14ac:dyDescent="0.3">
      <c r="A501">
        <v>1500</v>
      </c>
      <c r="B501" s="1">
        <v>45440</v>
      </c>
      <c r="C501" t="s">
        <v>15</v>
      </c>
      <c r="D501" t="s">
        <v>30</v>
      </c>
      <c r="E501" t="s">
        <v>32</v>
      </c>
      <c r="F501" t="s">
        <v>27</v>
      </c>
      <c r="G501">
        <v>5</v>
      </c>
      <c r="H501">
        <v>20000</v>
      </c>
      <c r="I501">
        <v>25000</v>
      </c>
      <c r="J501">
        <v>1524</v>
      </c>
      <c r="K501">
        <v>123476</v>
      </c>
    </row>
  </sheetData>
  <autoFilter ref="B2:B501" xr:uid="{35926AA8-CA0E-4DDF-A306-366C4B0E8BB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42F2-CEEA-4086-A050-5BFD315112AC}">
  <dimension ref="A3:H141"/>
  <sheetViews>
    <sheetView topLeftCell="A69" workbookViewId="0">
      <selection activeCell="B87" sqref="B87"/>
    </sheetView>
  </sheetViews>
  <sheetFormatPr defaultRowHeight="14.4" x14ac:dyDescent="0.3"/>
  <cols>
    <col min="1" max="2" width="12.5546875" bestFit="1" customWidth="1"/>
    <col min="3" max="3" width="14.88671875" bestFit="1" customWidth="1"/>
    <col min="7" max="7" width="12.5546875" bestFit="1" customWidth="1"/>
    <col min="8" max="8" width="14.88671875" bestFit="1" customWidth="1"/>
  </cols>
  <sheetData>
    <row r="3" spans="1:1" x14ac:dyDescent="0.3">
      <c r="A3" s="2" t="s">
        <v>34</v>
      </c>
    </row>
    <row r="4" spans="1:1" x14ac:dyDescent="0.3">
      <c r="A4" s="3" t="s">
        <v>36</v>
      </c>
    </row>
    <row r="5" spans="1:1" x14ac:dyDescent="0.3">
      <c r="A5" s="3" t="s">
        <v>39</v>
      </c>
    </row>
    <row r="6" spans="1:1" x14ac:dyDescent="0.3">
      <c r="A6" s="3" t="s">
        <v>40</v>
      </c>
    </row>
    <row r="7" spans="1:1" x14ac:dyDescent="0.3">
      <c r="A7" s="3" t="s">
        <v>41</v>
      </c>
    </row>
    <row r="8" spans="1:1" x14ac:dyDescent="0.3">
      <c r="A8" s="3" t="s">
        <v>43</v>
      </c>
    </row>
    <row r="9" spans="1:1" x14ac:dyDescent="0.3">
      <c r="A9" s="3" t="s">
        <v>42</v>
      </c>
    </row>
    <row r="10" spans="1:1" x14ac:dyDescent="0.3">
      <c r="A10" s="3" t="s">
        <v>35</v>
      </c>
    </row>
    <row r="14" spans="1:1" x14ac:dyDescent="0.3">
      <c r="A14" s="2" t="s">
        <v>34</v>
      </c>
    </row>
    <row r="15" spans="1:1" x14ac:dyDescent="0.3">
      <c r="A15" s="3" t="s">
        <v>11</v>
      </c>
    </row>
    <row r="16" spans="1:1" x14ac:dyDescent="0.3">
      <c r="A16" s="3" t="s">
        <v>18</v>
      </c>
    </row>
    <row r="17" spans="1:8" x14ac:dyDescent="0.3">
      <c r="A17" s="3" t="s">
        <v>15</v>
      </c>
    </row>
    <row r="18" spans="1:8" x14ac:dyDescent="0.3">
      <c r="A18" s="3" t="s">
        <v>20</v>
      </c>
    </row>
    <row r="19" spans="1:8" x14ac:dyDescent="0.3">
      <c r="A19" s="3" t="s">
        <v>35</v>
      </c>
    </row>
    <row r="23" spans="1:8" x14ac:dyDescent="0.3">
      <c r="A23" s="2" t="s">
        <v>34</v>
      </c>
    </row>
    <row r="24" spans="1:8" x14ac:dyDescent="0.3">
      <c r="A24" s="3" t="s">
        <v>33</v>
      </c>
    </row>
    <row r="25" spans="1:8" x14ac:dyDescent="0.3">
      <c r="A25" s="3" t="s">
        <v>29</v>
      </c>
    </row>
    <row r="26" spans="1:8" x14ac:dyDescent="0.3">
      <c r="A26" s="3" t="s">
        <v>31</v>
      </c>
    </row>
    <row r="27" spans="1:8" x14ac:dyDescent="0.3">
      <c r="A27" s="3" t="s">
        <v>13</v>
      </c>
    </row>
    <row r="28" spans="1:8" x14ac:dyDescent="0.3">
      <c r="A28" s="3" t="s">
        <v>19</v>
      </c>
    </row>
    <row r="29" spans="1:8" x14ac:dyDescent="0.3">
      <c r="A29" s="3" t="s">
        <v>24</v>
      </c>
    </row>
    <row r="30" spans="1:8" x14ac:dyDescent="0.3">
      <c r="A30" s="3" t="s">
        <v>22</v>
      </c>
      <c r="G30" s="2" t="s">
        <v>34</v>
      </c>
      <c r="H30" t="s">
        <v>37</v>
      </c>
    </row>
    <row r="31" spans="1:8" x14ac:dyDescent="0.3">
      <c r="A31" s="3" t="s">
        <v>25</v>
      </c>
      <c r="G31" s="3" t="s">
        <v>33</v>
      </c>
      <c r="H31" s="4">
        <v>113</v>
      </c>
    </row>
    <row r="32" spans="1:8" x14ac:dyDescent="0.3">
      <c r="A32" s="3" t="s">
        <v>17</v>
      </c>
      <c r="G32" s="3" t="s">
        <v>29</v>
      </c>
      <c r="H32" s="4">
        <v>143</v>
      </c>
    </row>
    <row r="33" spans="1:8" x14ac:dyDescent="0.3">
      <c r="A33" s="3" t="s">
        <v>32</v>
      </c>
      <c r="G33" s="3" t="s">
        <v>31</v>
      </c>
      <c r="H33" s="4">
        <v>174</v>
      </c>
    </row>
    <row r="34" spans="1:8" x14ac:dyDescent="0.3">
      <c r="A34" s="3" t="s">
        <v>26</v>
      </c>
      <c r="G34" s="3" t="s">
        <v>13</v>
      </c>
      <c r="H34" s="4">
        <v>128</v>
      </c>
    </row>
    <row r="35" spans="1:8" x14ac:dyDescent="0.3">
      <c r="A35" s="3" t="s">
        <v>35</v>
      </c>
      <c r="G35" s="3" t="s">
        <v>19</v>
      </c>
      <c r="H35" s="4">
        <v>185</v>
      </c>
    </row>
    <row r="36" spans="1:8" x14ac:dyDescent="0.3">
      <c r="G36" s="3" t="s">
        <v>24</v>
      </c>
      <c r="H36" s="4">
        <v>165</v>
      </c>
    </row>
    <row r="37" spans="1:8" x14ac:dyDescent="0.3">
      <c r="G37" s="3" t="s">
        <v>22</v>
      </c>
      <c r="H37" s="4">
        <v>194</v>
      </c>
    </row>
    <row r="38" spans="1:8" x14ac:dyDescent="0.3">
      <c r="G38" s="3" t="s">
        <v>25</v>
      </c>
      <c r="H38" s="4">
        <v>180</v>
      </c>
    </row>
    <row r="39" spans="1:8" x14ac:dyDescent="0.3">
      <c r="G39" s="3" t="s">
        <v>17</v>
      </c>
      <c r="H39" s="4">
        <v>145</v>
      </c>
    </row>
    <row r="40" spans="1:8" x14ac:dyDescent="0.3">
      <c r="G40" s="3" t="s">
        <v>32</v>
      </c>
      <c r="H40" s="4">
        <v>163</v>
      </c>
    </row>
    <row r="41" spans="1:8" x14ac:dyDescent="0.3">
      <c r="G41" s="3" t="s">
        <v>26</v>
      </c>
      <c r="H41" s="4">
        <v>146</v>
      </c>
    </row>
    <row r="42" spans="1:8" x14ac:dyDescent="0.3">
      <c r="G42" s="3" t="s">
        <v>35</v>
      </c>
      <c r="H42" s="4">
        <v>1736</v>
      </c>
    </row>
    <row r="46" spans="1:8" x14ac:dyDescent="0.3">
      <c r="A46" s="2" t="s">
        <v>34</v>
      </c>
      <c r="B46" t="s">
        <v>38</v>
      </c>
    </row>
    <row r="47" spans="1:8" x14ac:dyDescent="0.3">
      <c r="A47" s="3" t="s">
        <v>36</v>
      </c>
      <c r="B47" s="4">
        <v>2397249</v>
      </c>
    </row>
    <row r="48" spans="1:8" x14ac:dyDescent="0.3">
      <c r="A48" s="3" t="s">
        <v>39</v>
      </c>
      <c r="B48" s="4">
        <v>3828723</v>
      </c>
    </row>
    <row r="49" spans="1:2" x14ac:dyDescent="0.3">
      <c r="A49" s="3" t="s">
        <v>40</v>
      </c>
      <c r="B49" s="4">
        <v>3188603</v>
      </c>
    </row>
    <row r="50" spans="1:2" x14ac:dyDescent="0.3">
      <c r="A50" s="3" t="s">
        <v>41</v>
      </c>
      <c r="B50" s="4">
        <v>3437597</v>
      </c>
    </row>
    <row r="51" spans="1:2" x14ac:dyDescent="0.3">
      <c r="A51" s="3" t="s">
        <v>43</v>
      </c>
      <c r="B51" s="4">
        <v>4276206</v>
      </c>
    </row>
    <row r="52" spans="1:2" x14ac:dyDescent="0.3">
      <c r="A52" s="3" t="s">
        <v>42</v>
      </c>
      <c r="B52" s="4">
        <v>3370384</v>
      </c>
    </row>
    <row r="53" spans="1:2" x14ac:dyDescent="0.3">
      <c r="A53" s="3" t="s">
        <v>35</v>
      </c>
      <c r="B53" s="4">
        <v>20498762</v>
      </c>
    </row>
    <row r="58" spans="1:2" x14ac:dyDescent="0.3">
      <c r="A58" s="2" t="s">
        <v>34</v>
      </c>
      <c r="B58" t="s">
        <v>38</v>
      </c>
    </row>
    <row r="59" spans="1:2" x14ac:dyDescent="0.3">
      <c r="A59" s="3" t="s">
        <v>20</v>
      </c>
      <c r="B59" s="4">
        <v>4673206</v>
      </c>
    </row>
    <row r="60" spans="1:2" x14ac:dyDescent="0.3">
      <c r="A60" s="3" t="s">
        <v>18</v>
      </c>
      <c r="B60" s="4">
        <v>4535127</v>
      </c>
    </row>
    <row r="61" spans="1:2" x14ac:dyDescent="0.3">
      <c r="A61" s="3" t="s">
        <v>11</v>
      </c>
      <c r="B61" s="4">
        <v>6913595</v>
      </c>
    </row>
    <row r="62" spans="1:2" x14ac:dyDescent="0.3">
      <c r="A62" s="3" t="s">
        <v>15</v>
      </c>
      <c r="B62" s="4">
        <v>4376834</v>
      </c>
    </row>
    <row r="63" spans="1:2" x14ac:dyDescent="0.3">
      <c r="A63" s="3" t="s">
        <v>35</v>
      </c>
      <c r="B63" s="4">
        <v>20498762</v>
      </c>
    </row>
    <row r="68" spans="1:2" x14ac:dyDescent="0.3">
      <c r="A68" s="2" t="s">
        <v>34</v>
      </c>
      <c r="B68" t="s">
        <v>37</v>
      </c>
    </row>
    <row r="69" spans="1:2" x14ac:dyDescent="0.3">
      <c r="A69" s="3" t="s">
        <v>33</v>
      </c>
      <c r="B69" s="4">
        <v>113</v>
      </c>
    </row>
    <row r="70" spans="1:2" x14ac:dyDescent="0.3">
      <c r="A70" s="3" t="s">
        <v>29</v>
      </c>
      <c r="B70" s="4">
        <v>143</v>
      </c>
    </row>
    <row r="71" spans="1:2" x14ac:dyDescent="0.3">
      <c r="A71" s="3" t="s">
        <v>31</v>
      </c>
      <c r="B71" s="4">
        <v>174</v>
      </c>
    </row>
    <row r="72" spans="1:2" x14ac:dyDescent="0.3">
      <c r="A72" s="3" t="s">
        <v>13</v>
      </c>
      <c r="B72" s="4">
        <v>128</v>
      </c>
    </row>
    <row r="73" spans="1:2" x14ac:dyDescent="0.3">
      <c r="A73" s="3" t="s">
        <v>19</v>
      </c>
      <c r="B73" s="4">
        <v>185</v>
      </c>
    </row>
    <row r="74" spans="1:2" x14ac:dyDescent="0.3">
      <c r="A74" s="3" t="s">
        <v>24</v>
      </c>
      <c r="B74" s="4">
        <v>165</v>
      </c>
    </row>
    <row r="75" spans="1:2" x14ac:dyDescent="0.3">
      <c r="A75" s="3" t="s">
        <v>22</v>
      </c>
      <c r="B75" s="4">
        <v>194</v>
      </c>
    </row>
    <row r="76" spans="1:2" x14ac:dyDescent="0.3">
      <c r="A76" s="3" t="s">
        <v>25</v>
      </c>
      <c r="B76" s="4">
        <v>180</v>
      </c>
    </row>
    <row r="77" spans="1:2" x14ac:dyDescent="0.3">
      <c r="A77" s="3" t="s">
        <v>17</v>
      </c>
      <c r="B77" s="4">
        <v>145</v>
      </c>
    </row>
    <row r="78" spans="1:2" x14ac:dyDescent="0.3">
      <c r="A78" s="3" t="s">
        <v>32</v>
      </c>
      <c r="B78" s="4">
        <v>163</v>
      </c>
    </row>
    <row r="79" spans="1:2" x14ac:dyDescent="0.3">
      <c r="A79" s="3" t="s">
        <v>26</v>
      </c>
      <c r="B79" s="4">
        <v>146</v>
      </c>
    </row>
    <row r="80" spans="1:2" x14ac:dyDescent="0.3">
      <c r="A80" s="3" t="s">
        <v>35</v>
      </c>
      <c r="B80" s="4">
        <v>1736</v>
      </c>
    </row>
    <row r="85" spans="1:2" x14ac:dyDescent="0.3">
      <c r="A85" s="2" t="s">
        <v>34</v>
      </c>
      <c r="B85" t="s">
        <v>37</v>
      </c>
    </row>
    <row r="86" spans="1:2" x14ac:dyDescent="0.3">
      <c r="A86" s="3" t="s">
        <v>19</v>
      </c>
      <c r="B86" s="4">
        <v>185</v>
      </c>
    </row>
    <row r="87" spans="1:2" x14ac:dyDescent="0.3">
      <c r="A87" s="3" t="s">
        <v>22</v>
      </c>
      <c r="B87" s="4">
        <v>194</v>
      </c>
    </row>
    <row r="88" spans="1:2" x14ac:dyDescent="0.3">
      <c r="A88" s="3" t="s">
        <v>25</v>
      </c>
      <c r="B88" s="4">
        <v>180</v>
      </c>
    </row>
    <row r="89" spans="1:2" x14ac:dyDescent="0.3">
      <c r="A89" s="3" t="s">
        <v>35</v>
      </c>
      <c r="B89" s="4">
        <v>559</v>
      </c>
    </row>
    <row r="96" spans="1:2" x14ac:dyDescent="0.3">
      <c r="A96" s="2" t="s">
        <v>34</v>
      </c>
      <c r="B96" t="s">
        <v>37</v>
      </c>
    </row>
    <row r="97" spans="1:2" x14ac:dyDescent="0.3">
      <c r="A97" s="3" t="s">
        <v>33</v>
      </c>
      <c r="B97" s="4">
        <v>113</v>
      </c>
    </row>
    <row r="98" spans="1:2" x14ac:dyDescent="0.3">
      <c r="A98" s="3" t="s">
        <v>29</v>
      </c>
      <c r="B98" s="4">
        <v>143</v>
      </c>
    </row>
    <row r="99" spans="1:2" x14ac:dyDescent="0.3">
      <c r="A99" s="3" t="s">
        <v>13</v>
      </c>
      <c r="B99" s="4">
        <v>128</v>
      </c>
    </row>
    <row r="100" spans="1:2" x14ac:dyDescent="0.3">
      <c r="A100" s="3" t="s">
        <v>35</v>
      </c>
      <c r="B100" s="4">
        <v>384</v>
      </c>
    </row>
    <row r="112" spans="1:2" x14ac:dyDescent="0.3">
      <c r="A112" s="2" t="s">
        <v>34</v>
      </c>
      <c r="B112" t="s">
        <v>37</v>
      </c>
    </row>
    <row r="113" spans="1:3" x14ac:dyDescent="0.3">
      <c r="A113" s="3" t="s">
        <v>30</v>
      </c>
      <c r="B113" s="4">
        <v>287</v>
      </c>
    </row>
    <row r="114" spans="1:3" x14ac:dyDescent="0.3">
      <c r="A114" s="3" t="s">
        <v>28</v>
      </c>
      <c r="B114" s="4">
        <v>280</v>
      </c>
    </row>
    <row r="115" spans="1:3" x14ac:dyDescent="0.3">
      <c r="A115" s="3" t="s">
        <v>21</v>
      </c>
      <c r="B115" s="4">
        <v>274</v>
      </c>
    </row>
    <row r="116" spans="1:3" x14ac:dyDescent="0.3">
      <c r="A116" s="3" t="s">
        <v>16</v>
      </c>
      <c r="B116" s="4">
        <v>310</v>
      </c>
    </row>
    <row r="117" spans="1:3" x14ac:dyDescent="0.3">
      <c r="A117" s="3" t="s">
        <v>12</v>
      </c>
      <c r="B117" s="4">
        <v>285</v>
      </c>
    </row>
    <row r="118" spans="1:3" x14ac:dyDescent="0.3">
      <c r="A118" s="3" t="s">
        <v>23</v>
      </c>
      <c r="B118" s="4">
        <v>300</v>
      </c>
    </row>
    <row r="119" spans="1:3" x14ac:dyDescent="0.3">
      <c r="A119" s="3" t="s">
        <v>35</v>
      </c>
      <c r="B119" s="4">
        <v>1736</v>
      </c>
    </row>
    <row r="127" spans="1:3" x14ac:dyDescent="0.3">
      <c r="B127" s="2" t="s">
        <v>34</v>
      </c>
      <c r="C127" t="s">
        <v>37</v>
      </c>
    </row>
    <row r="128" spans="1:3" x14ac:dyDescent="0.3">
      <c r="B128" s="3" t="s">
        <v>30</v>
      </c>
      <c r="C128" s="4">
        <v>287</v>
      </c>
    </row>
    <row r="129" spans="2:3" x14ac:dyDescent="0.3">
      <c r="B129" s="3" t="s">
        <v>16</v>
      </c>
      <c r="C129" s="4">
        <v>310</v>
      </c>
    </row>
    <row r="130" spans="2:3" x14ac:dyDescent="0.3">
      <c r="B130" s="3" t="s">
        <v>23</v>
      </c>
      <c r="C130" s="4">
        <v>300</v>
      </c>
    </row>
    <row r="131" spans="2:3" x14ac:dyDescent="0.3">
      <c r="B131" s="3" t="s">
        <v>35</v>
      </c>
      <c r="C131" s="4">
        <v>897</v>
      </c>
    </row>
    <row r="137" spans="2:3" x14ac:dyDescent="0.3">
      <c r="B137" s="2" t="s">
        <v>34</v>
      </c>
      <c r="C137" t="s">
        <v>37</v>
      </c>
    </row>
    <row r="138" spans="2:3" x14ac:dyDescent="0.3">
      <c r="B138" s="3" t="s">
        <v>28</v>
      </c>
      <c r="C138" s="4">
        <v>280</v>
      </c>
    </row>
    <row r="139" spans="2:3" x14ac:dyDescent="0.3">
      <c r="B139" s="3" t="s">
        <v>21</v>
      </c>
      <c r="C139" s="4">
        <v>274</v>
      </c>
    </row>
    <row r="140" spans="2:3" x14ac:dyDescent="0.3">
      <c r="B140" s="3" t="s">
        <v>12</v>
      </c>
      <c r="C140" s="4">
        <v>285</v>
      </c>
    </row>
    <row r="141" spans="2:3" x14ac:dyDescent="0.3">
      <c r="B141" s="3" t="s">
        <v>35</v>
      </c>
      <c r="C141" s="4">
        <v>839</v>
      </c>
    </row>
  </sheetData>
  <pageMargins left="0.7" right="0.7" top="0.75" bottom="0.75" header="0.3" footer="0.3"/>
  <drawing r:id="rId13"/>
  <extLst>
    <ext xmlns:x14="http://schemas.microsoft.com/office/spreadsheetml/2009/9/main" uri="{05C60535-1F16-4fd2-B633-F4F36F0B64E0}">
      <x14:sparklineGroups xmlns:xm="http://schemas.microsoft.com/office/excel/2006/main">
        <x14:sparklineGroup displayEmptyCellsAs="gap" xr2:uid="{F563A02A-D303-4228-8F12-A6CFA2D3B84E}">
          <x14:colorSeries rgb="FF0070C0"/>
          <x14:colorNegative rgb="FF000000"/>
          <x14:colorAxis rgb="FF000000"/>
          <x14:colorMarkers rgb="FF000000"/>
          <x14:colorFirst rgb="FF000000"/>
          <x14:colorLast rgb="FF000000"/>
          <x14:colorHigh rgb="FF000000"/>
          <x14:colorLow rgb="FF000000"/>
          <x14:sparklines>
            <x14:sparkline>
              <xm:f>'pivot tables'!B49:B49</xm:f>
              <xm:sqref>J49</xm:sqref>
            </x14:sparkline>
            <x14:sparkline>
              <xm:f>'pivot tables'!C49:C49</xm:f>
              <xm:sqref>K49</xm:sqref>
            </x14:sparkline>
            <x14:sparkline>
              <xm:f>'pivot tables'!D49:D49</xm:f>
              <xm:sqref>L49</xm:sqref>
            </x14:sparkline>
            <x14:sparkline>
              <xm:f>'pivot tables'!E49:E49</xm:f>
              <xm:sqref>M49</xm:sqref>
            </x14:sparkline>
            <x14:sparkline>
              <xm:f>'pivot tables'!F49:F49</xm:f>
              <xm:sqref>N49</xm:sqref>
            </x14:sparkline>
            <x14:sparkline>
              <xm:f>'pivot tables'!G49:G49</xm:f>
              <xm:sqref>O49</xm:sqref>
            </x14:sparkline>
            <x14:sparkline>
              <xm:f>'pivot tables'!H49:H49</xm:f>
              <xm:sqref>P49</xm:sqref>
            </x14:sparkline>
          </x14:sparklines>
        </x14:sparklineGroup>
        <x14:sparklineGroup displayEmptyCellsAs="gap" xr2:uid="{D9D76492-8289-4A87-AC0D-06EF09FAFA3A}">
          <x14:colorSeries rgb="FF376092"/>
          <x14:colorNegative rgb="FFD00000"/>
          <x14:colorAxis rgb="FF000000"/>
          <x14:colorMarkers rgb="FFD00000"/>
          <x14:colorFirst rgb="FFD00000"/>
          <x14:colorLast rgb="FFD00000"/>
          <x14:colorHigh rgb="FFD00000"/>
          <x14:colorLow rgb="FFD00000"/>
          <x14:sparklines>
            <x14:sparkline>
              <xm:f>'pivot tables'!A48:A48</xm:f>
              <xm:sqref>C49</xm:sqref>
            </x14:sparkline>
          </x14:sparklines>
        </x14:sparklineGroup>
      </x14:sparklineGroups>
    </ex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250C1-99C1-4BB4-A426-9B614E5D5EF9}">
  <dimension ref="A1"/>
  <sheetViews>
    <sheetView zoomScaleNormal="10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74FC5-F357-4F0D-9B3D-F1300B05DFFC}">
  <dimension ref="A1"/>
  <sheetViews>
    <sheetView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D3DFD-CF16-44FB-ADDC-2C6DC8F684E0}">
  <dimension ref="A1"/>
  <sheetViews>
    <sheetView tabSelected="1" zoomScaleNormal="10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dataset</vt:lpstr>
      <vt:lpstr>pivot tables</vt:lpstr>
      <vt:lpstr>dashboard</vt:lpstr>
      <vt:lpstr>products</vt:lpstr>
      <vt:lpstr>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ananthalakshmibareddy7@gmail.com</cp:lastModifiedBy>
  <dcterms:created xsi:type="dcterms:W3CDTF">2026-03-30T17:07:09Z</dcterms:created>
  <dcterms:modified xsi:type="dcterms:W3CDTF">2026-04-03T16:56:31Z</dcterms:modified>
</cp:coreProperties>
</file>